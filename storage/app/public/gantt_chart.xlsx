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xampp\htdocs\Application_RH_v26_07\storage\app\public\"/>
    </mc:Choice>
  </mc:AlternateContent>
  <xr:revisionPtr revIDLastSave="0" documentId="13_ncr:1_{DE7D34C5-1468-460F-AF5C-049842C6AAC3}" xr6:coauthVersionLast="47" xr6:coauthVersionMax="47" xr10:uidLastSave="{00000000-0000-0000-0000-000000000000}"/>
  <bookViews>
    <workbookView xWindow="-108" yWindow="-108" windowWidth="23256" windowHeight="12456" tabRatio="686" activeTab="11" xr2:uid="{00000000-000D-0000-FFFF-FFFF00000000}"/>
  </bookViews>
  <sheets>
    <sheet name="January" sheetId="4" r:id="rId1"/>
    <sheet name="February" sheetId="5" r:id="rId2"/>
    <sheet name="March" sheetId="17" r:id="rId3"/>
    <sheet name="April" sheetId="18" r:id="rId4"/>
    <sheet name="May" sheetId="19" r:id="rId5"/>
    <sheet name="June" sheetId="20" r:id="rId6"/>
    <sheet name="July" sheetId="21" r:id="rId7"/>
    <sheet name="August" sheetId="22" r:id="rId8"/>
    <sheet name="September" sheetId="23" r:id="rId9"/>
    <sheet name="October" sheetId="24" r:id="rId10"/>
    <sheet name="November" sheetId="25" r:id="rId11"/>
    <sheet name="December" sheetId="15" r:id="rId12"/>
  </sheets>
  <definedNames>
    <definedName name="CalendarYear">January!$AH$4</definedName>
    <definedName name="ColumnTitle13">#REF!</definedName>
    <definedName name="Employee_Absence_Title">January!$B$2</definedName>
    <definedName name="_xlnm.Print_Titles" localSheetId="3">April!$4:$6</definedName>
    <definedName name="_xlnm.Print_Titles" localSheetId="7">August!$4:$6</definedName>
    <definedName name="_xlnm.Print_Titles" localSheetId="11">December!$4:$6</definedName>
    <definedName name="_xlnm.Print_Titles" localSheetId="1">February!$4:$6</definedName>
    <definedName name="_xlnm.Print_Titles" localSheetId="0">January!$4:$6</definedName>
    <definedName name="_xlnm.Print_Titles" localSheetId="6">July!$4:$6</definedName>
    <definedName name="_xlnm.Print_Titles" localSheetId="5">June!$4:$6</definedName>
    <definedName name="_xlnm.Print_Titles" localSheetId="2">March!$4:$6</definedName>
    <definedName name="_xlnm.Print_Titles" localSheetId="4">May!$4:$6</definedName>
    <definedName name="_xlnm.Print_Titles" localSheetId="10">November!$4:$6</definedName>
    <definedName name="_xlnm.Print_Titles" localSheetId="9">October!$4:$6</definedName>
    <definedName name="_xlnm.Print_Titles" localSheetId="8">September!$4:$6</definedName>
    <definedName name="Key_name">January!#REF!</definedName>
    <definedName name="KeyCustom1">January!#REF!</definedName>
    <definedName name="KeyCustom1Label">January!#REF!</definedName>
    <definedName name="KeyCustom2">January!#REF!</definedName>
    <definedName name="KeyCustom2Label">January!#REF!</definedName>
    <definedName name="KeyPersonal">January!#REF!</definedName>
    <definedName name="KeyPersonalLabel">January!#REF!</definedName>
    <definedName name="KeySick">January!#REF!</definedName>
    <definedName name="KeySickLabel">January!#REF!</definedName>
    <definedName name="KeyVacation">January!#REF!</definedName>
    <definedName name="KeyVacationLabel">January!#REF!</definedName>
    <definedName name="MonthName" localSheetId="3">April!$B$4</definedName>
    <definedName name="MonthName" localSheetId="7">August!$B$4</definedName>
    <definedName name="MonthName" localSheetId="11">December!$B$4</definedName>
    <definedName name="MonthName" localSheetId="1">February!$B$4</definedName>
    <definedName name="MonthName" localSheetId="0">January!$B$4</definedName>
    <definedName name="MonthName" localSheetId="6">July!$B$4</definedName>
    <definedName name="MonthName" localSheetId="5">June!$B$4</definedName>
    <definedName name="MonthName" localSheetId="2">March!$B$4</definedName>
    <definedName name="MonthName" localSheetId="4">May!$B$4</definedName>
    <definedName name="MonthName" localSheetId="10">November!$B$4</definedName>
    <definedName name="MonthName" localSheetId="9">October!$B$4</definedName>
    <definedName name="MonthName" localSheetId="8">September!$B$4</definedName>
    <definedName name="Title1">January[[#Headers],[Employées]]</definedName>
    <definedName name="Title10">October[[#Headers],[Employées]]</definedName>
    <definedName name="Title11">November[[#Headers],[Employées]]</definedName>
    <definedName name="Title12">December[[#Headers],[Employées]]</definedName>
    <definedName name="Title2">February[[#Headers],[Employées]]</definedName>
    <definedName name="Title3">March[[#Headers],[Employées]]</definedName>
    <definedName name="Title4">April[[#Headers],[Employées]]</definedName>
    <definedName name="Title5">May[[#Headers],[Employées]]</definedName>
    <definedName name="Title6">June[[#Headers],[Employées]]</definedName>
    <definedName name="Title7">July[[#Headers],[Employées]]</definedName>
    <definedName name="Title8">August[[#Headers],[Employées]]</definedName>
    <definedName name="Title9">September[[#Headers],[Employées]]</definedName>
  </definedNames>
  <calcPr calcId="191029"/>
</workbook>
</file>

<file path=xl/calcChain.xml><?xml version="1.0" encoding="utf-8"?>
<calcChain xmlns="http://schemas.openxmlformats.org/spreadsheetml/2006/main">
  <c r="AF5" i="25" l="1"/>
  <c r="AE5" i="25"/>
  <c r="AD5" i="25"/>
  <c r="AC5" i="25"/>
  <c r="AB5" i="25"/>
  <c r="AA5" i="25"/>
  <c r="Z5" i="25"/>
  <c r="Y5" i="25"/>
  <c r="X5" i="25"/>
  <c r="W5" i="25"/>
  <c r="V5" i="25"/>
  <c r="U5" i="25"/>
  <c r="T5" i="25"/>
  <c r="S5" i="25"/>
  <c r="R5" i="25"/>
  <c r="Q5" i="25"/>
  <c r="P5" i="25"/>
  <c r="O5" i="25"/>
  <c r="N5" i="25"/>
  <c r="M5" i="25"/>
  <c r="L5" i="25"/>
  <c r="K5" i="25"/>
  <c r="J5" i="25"/>
  <c r="I5" i="25"/>
  <c r="H5" i="25"/>
  <c r="G5" i="25"/>
  <c r="F5" i="25"/>
  <c r="E5" i="25"/>
  <c r="D5" i="25"/>
  <c r="C5" i="25"/>
  <c r="AH4" i="25"/>
  <c r="AG5" i="24"/>
  <c r="AF5" i="24"/>
  <c r="AE5" i="24"/>
  <c r="AD5" i="24"/>
  <c r="AC5" i="24"/>
  <c r="AB5" i="24"/>
  <c r="AA5" i="24"/>
  <c r="Z5" i="24"/>
  <c r="Y5" i="24"/>
  <c r="X5" i="24"/>
  <c r="W5" i="24"/>
  <c r="V5" i="24"/>
  <c r="U5" i="24"/>
  <c r="T5" i="24"/>
  <c r="S5" i="24"/>
  <c r="R5" i="24"/>
  <c r="Q5" i="24"/>
  <c r="P5" i="24"/>
  <c r="O5" i="24"/>
  <c r="N5" i="24"/>
  <c r="M5" i="24"/>
  <c r="L5" i="24"/>
  <c r="K5" i="24"/>
  <c r="J5" i="24"/>
  <c r="I5" i="24"/>
  <c r="H5" i="24"/>
  <c r="G5" i="24"/>
  <c r="F5" i="24"/>
  <c r="E5" i="24"/>
  <c r="D5" i="24"/>
  <c r="C5" i="24"/>
  <c r="AH4" i="24"/>
  <c r="AF5" i="23"/>
  <c r="AE5" i="23"/>
  <c r="AD5" i="23"/>
  <c r="AC5" i="23"/>
  <c r="AB5" i="23"/>
  <c r="AA5" i="23"/>
  <c r="Z5" i="23"/>
  <c r="Y5" i="23"/>
  <c r="X5" i="23"/>
  <c r="W5" i="23"/>
  <c r="V5" i="23"/>
  <c r="U5" i="23"/>
  <c r="T5" i="23"/>
  <c r="S5" i="23"/>
  <c r="R5" i="23"/>
  <c r="Q5" i="23"/>
  <c r="P5" i="23"/>
  <c r="O5" i="23"/>
  <c r="N5" i="23"/>
  <c r="M5" i="23"/>
  <c r="L5" i="23"/>
  <c r="K5" i="23"/>
  <c r="J5" i="23"/>
  <c r="I5" i="23"/>
  <c r="H5" i="23"/>
  <c r="G5" i="23"/>
  <c r="F5" i="23"/>
  <c r="E5" i="23"/>
  <c r="D5" i="23"/>
  <c r="C5" i="23"/>
  <c r="AH4" i="23"/>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AH4" i="22"/>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AH4" i="21"/>
  <c r="AF5" i="20"/>
  <c r="AE5" i="20"/>
  <c r="AD5" i="20"/>
  <c r="AC5" i="20"/>
  <c r="AB5" i="20"/>
  <c r="AA5" i="20"/>
  <c r="Z5" i="20"/>
  <c r="Y5" i="20"/>
  <c r="X5" i="20"/>
  <c r="W5" i="20"/>
  <c r="V5" i="20"/>
  <c r="U5" i="20"/>
  <c r="T5" i="20"/>
  <c r="S5" i="20"/>
  <c r="R5" i="20"/>
  <c r="Q5" i="20"/>
  <c r="P5" i="20"/>
  <c r="O5" i="20"/>
  <c r="N5" i="20"/>
  <c r="M5" i="20"/>
  <c r="L5" i="20"/>
  <c r="K5" i="20"/>
  <c r="J5" i="20"/>
  <c r="I5" i="20"/>
  <c r="H5" i="20"/>
  <c r="G5" i="20"/>
  <c r="F5" i="20"/>
  <c r="E5" i="20"/>
  <c r="D5" i="20"/>
  <c r="C5" i="20"/>
  <c r="AH4" i="20"/>
  <c r="AG5" i="19"/>
  <c r="AF5" i="19"/>
  <c r="AE5" i="19"/>
  <c r="AD5" i="19"/>
  <c r="AC5" i="19"/>
  <c r="AB5" i="19"/>
  <c r="AA5" i="19"/>
  <c r="Z5" i="19"/>
  <c r="Y5" i="19"/>
  <c r="X5" i="19"/>
  <c r="W5" i="19"/>
  <c r="V5" i="19"/>
  <c r="U5" i="19"/>
  <c r="T5" i="19"/>
  <c r="S5" i="19"/>
  <c r="R5" i="19"/>
  <c r="Q5" i="19"/>
  <c r="P5" i="19"/>
  <c r="O5" i="19"/>
  <c r="N5" i="19"/>
  <c r="M5" i="19"/>
  <c r="L5" i="19"/>
  <c r="K5" i="19"/>
  <c r="J5" i="19"/>
  <c r="I5" i="19"/>
  <c r="H5" i="19"/>
  <c r="G5" i="19"/>
  <c r="F5" i="19"/>
  <c r="E5" i="19"/>
  <c r="D5" i="19"/>
  <c r="C5" i="19"/>
  <c r="AH4" i="19"/>
  <c r="AF5" i="18"/>
  <c r="AE5" i="18"/>
  <c r="AD5" i="18"/>
  <c r="AC5" i="18"/>
  <c r="AB5" i="18"/>
  <c r="AA5" i="18"/>
  <c r="Z5" i="18"/>
  <c r="Y5" i="18"/>
  <c r="X5" i="18"/>
  <c r="W5" i="18"/>
  <c r="V5" i="18"/>
  <c r="U5" i="18"/>
  <c r="T5" i="18"/>
  <c r="S5" i="18"/>
  <c r="R5" i="18"/>
  <c r="Q5" i="18"/>
  <c r="P5" i="18"/>
  <c r="O5" i="18"/>
  <c r="N5" i="18"/>
  <c r="M5" i="18"/>
  <c r="L5" i="18"/>
  <c r="K5" i="18"/>
  <c r="J5" i="18"/>
  <c r="I5" i="18"/>
  <c r="H5" i="18"/>
  <c r="G5" i="18"/>
  <c r="F5" i="18"/>
  <c r="E5" i="18"/>
  <c r="D5" i="18"/>
  <c r="C5" i="18"/>
  <c r="AH4" i="18"/>
  <c r="AG5" i="17"/>
  <c r="AF5" i="17"/>
  <c r="AE5" i="17"/>
  <c r="AD5" i="17"/>
  <c r="AC5" i="17"/>
  <c r="AB5" i="17"/>
  <c r="AA5" i="17"/>
  <c r="Z5" i="17"/>
  <c r="Y5" i="17"/>
  <c r="X5" i="17"/>
  <c r="W5" i="17"/>
  <c r="V5" i="17"/>
  <c r="U5" i="17"/>
  <c r="T5" i="17"/>
  <c r="S5" i="17"/>
  <c r="R5" i="17"/>
  <c r="Q5" i="17"/>
  <c r="P5" i="17"/>
  <c r="O5" i="17"/>
  <c r="N5" i="17"/>
  <c r="M5" i="17"/>
  <c r="L5" i="17"/>
  <c r="K5" i="17"/>
  <c r="J5" i="17"/>
  <c r="I5" i="17"/>
  <c r="H5" i="17"/>
  <c r="G5" i="17"/>
  <c r="F5" i="17"/>
  <c r="E5" i="17"/>
  <c r="D5" i="17"/>
  <c r="C5" i="17"/>
  <c r="AH4" i="17"/>
  <c r="AB5" i="5" l="1"/>
  <c r="AH4" i="5" l="1"/>
  <c r="AH4" i="15" l="1"/>
  <c r="AG5" i="15" l="1"/>
  <c r="AF5" i="15"/>
  <c r="AE5" i="15"/>
  <c r="AD5" i="15"/>
  <c r="AC5" i="15"/>
  <c r="AB5" i="15"/>
  <c r="AA5" i="15"/>
  <c r="Z5" i="15"/>
  <c r="Y5" i="15"/>
  <c r="X5" i="15"/>
  <c r="W5" i="15"/>
  <c r="V5" i="15"/>
  <c r="U5" i="15"/>
  <c r="T5" i="15"/>
  <c r="S5" i="15"/>
  <c r="R5" i="15"/>
  <c r="Q5" i="15"/>
  <c r="P5" i="15"/>
  <c r="O5" i="15"/>
  <c r="N5" i="15"/>
  <c r="M5" i="15"/>
  <c r="L5" i="15"/>
  <c r="K5" i="15"/>
  <c r="J5" i="15"/>
  <c r="I5" i="15"/>
  <c r="H5" i="15"/>
  <c r="G5" i="15"/>
  <c r="F5" i="15"/>
  <c r="E5" i="15"/>
  <c r="D5" i="15"/>
  <c r="C5" i="15"/>
  <c r="AE5" i="5" l="1"/>
  <c r="AD5" i="5"/>
  <c r="AC5" i="5"/>
  <c r="AA5" i="5"/>
  <c r="Z5" i="5"/>
  <c r="Y5" i="5"/>
  <c r="X5" i="5"/>
  <c r="W5" i="5"/>
  <c r="V5" i="5"/>
  <c r="U5" i="5"/>
  <c r="T5" i="5"/>
  <c r="S5" i="5"/>
  <c r="R5" i="5"/>
  <c r="Q5" i="5"/>
  <c r="P5" i="5"/>
  <c r="O5" i="5"/>
  <c r="N5" i="5"/>
  <c r="M5" i="5"/>
  <c r="L5" i="5"/>
  <c r="K5" i="5"/>
  <c r="J5" i="5"/>
  <c r="I5" i="5"/>
  <c r="H5" i="5"/>
  <c r="G5" i="5"/>
  <c r="F5" i="5"/>
  <c r="E5" i="5"/>
  <c r="D5" i="5"/>
  <c r="C5" i="5"/>
  <c r="AE5" i="4" l="1"/>
  <c r="AA5" i="4"/>
  <c r="W5" i="4"/>
  <c r="O5" i="4"/>
  <c r="G5" i="4"/>
  <c r="AD5" i="4"/>
  <c r="Z5" i="4"/>
  <c r="R5" i="4"/>
  <c r="N5" i="4"/>
  <c r="F5" i="4"/>
  <c r="M5" i="4"/>
  <c r="AG5" i="4"/>
  <c r="AC5" i="4"/>
  <c r="Y5" i="4"/>
  <c r="S5" i="4"/>
  <c r="K5" i="4"/>
  <c r="E5" i="4"/>
  <c r="AF5" i="4"/>
  <c r="AB5" i="4"/>
  <c r="X5" i="4"/>
  <c r="T5" i="4"/>
  <c r="P5" i="4"/>
  <c r="L5" i="4"/>
  <c r="H5" i="4"/>
  <c r="D5" i="4"/>
  <c r="Q5" i="4"/>
  <c r="I5" i="4"/>
  <c r="C5" i="4"/>
  <c r="V5" i="4"/>
  <c r="J5" i="4"/>
  <c r="U5" i="4"/>
</calcChain>
</file>

<file path=xl/sharedStrings.xml><?xml version="1.0" encoding="utf-8"?>
<sst xmlns="http://schemas.openxmlformats.org/spreadsheetml/2006/main" count="600" uniqueCount="62">
  <si>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</si>
  <si>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</si>
  <si>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</si>
  <si>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</si>
  <si>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</si>
  <si>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</si>
  <si>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</si>
  <si>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</si>
  <si>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</si>
  <si>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</si>
  <si>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</si>
  <si>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</si>
  <si>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</si>
  <si>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</si>
  <si>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</si>
  <si>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</si>
  <si>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</si>
  <si>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</si>
  <si>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</si>
  <si>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</si>
  <si>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</si>
  <si>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</si>
  <si>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</si>
  <si>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</si>
  <si>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</si>
  <si>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</si>
  <si>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</si>
  <si>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</si>
  <si>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</si>
  <si>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</si>
  <si>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</si>
  <si>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Total Days</t>
  </si>
  <si>
    <t xml:space="preserve"> </t>
  </si>
  <si>
    <t xml:space="preserve">  </t>
  </si>
  <si>
    <t>January</t>
  </si>
  <si>
    <t>February</t>
  </si>
  <si>
    <t>March</t>
  </si>
  <si>
    <t>April</t>
  </si>
  <si>
    <t>May</t>
  </si>
  <si>
    <t>July</t>
  </si>
  <si>
    <t>August</t>
  </si>
  <si>
    <t>September</t>
  </si>
  <si>
    <t>October</t>
  </si>
  <si>
    <t>November</t>
  </si>
  <si>
    <t>December</t>
  </si>
  <si>
    <t>CA</t>
  </si>
  <si>
    <t>Congé annuel</t>
  </si>
  <si>
    <t>CE</t>
  </si>
  <si>
    <t>Congé exeptionnel</t>
  </si>
  <si>
    <t>CM</t>
  </si>
  <si>
    <t>Congé maternité</t>
  </si>
  <si>
    <t>Année acuel</t>
  </si>
  <si>
    <t>Employées</t>
  </si>
  <si>
    <t>PA</t>
  </si>
  <si>
    <t>M</t>
  </si>
  <si>
    <t>P</t>
  </si>
  <si>
    <t xml:space="preserve"> Congé Maternité</t>
  </si>
  <si>
    <t xml:space="preserve"> Congé Maladie</t>
  </si>
  <si>
    <t xml:space="preserve"> Congé Paternité</t>
  </si>
  <si>
    <t>Calendrier des absences des employés</t>
  </si>
  <si>
    <t>Clé des types d'absence</t>
  </si>
  <si>
    <t>Dates d'absence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</si>
</sst>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s>
  <fills count="24">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
      <patternFill patternType="solid">
        <fgColor rgb="FFA8D2E0"/>
        <bgColor indexed="64"/>
      </patternFill>
    </fill>
    <fill>
      <patternFill patternType="solid">
        <fgColor rgb="FF66FF66"/>
        <bgColor indexed="64"/>
      </patternFill>
    </fill>
    <fill>
      <patternFill patternType="solid">
        <fgColor rgb="FFB9C2DF"/>
        <bgColor indexed="64"/>
      </patternFill>
    </fill>
  </fills>
  <borders count="1">
    <border>
      <left/>
      <right/>
      <top/>
      <bottom/>
      <diagonal/>
    </border>
  </borders>
  <cellStyleXfs count="29">
    <xf numFmtId="0" fontId="0" fillId="0" borderId="0">
      <alignment horizontal="left" vertical="center"/>
    </xf>
    <xf numFmtId="0" fontId="7" fillId="0" borderId="0" applyNumberFormat="0" applyFill="0" applyBorder="0" applyProtection="0">
      <alignment vertical="top"/>
    </xf>
    <xf numFmtId="0" fontId="5" fillId="0" borderId="0" applyNumberFormat="0" applyFill="0" applyBorder="0" applyProtection="0">
      <alignment vertical="top"/>
    </xf>
    <xf numFmtId="0" fontId="6" fillId="2" borderId="0" applyNumberFormat="0" applyBorder="0" applyProtection="0">
      <alignment horizontal="center" vertical="center"/>
    </xf>
    <xf numFmtId="0" fontId="2" fillId="20" borderId="0" applyNumberFormat="0" applyProtection="0">
      <alignment horizontal="right" vertical="center" indent="1"/>
    </xf>
    <xf numFmtId="0" fontId="3" fillId="0" borderId="0" applyNumberFormat="0" applyFill="0" applyBorder="0" applyProtection="0">
      <alignment horizontal="left" vertical="center" indent="2"/>
    </xf>
    <xf numFmtId="0" fontId="4"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4"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4"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2" fillId="10" borderId="0" applyNumberFormat="0" applyBorder="0" applyAlignment="0" applyProtection="0"/>
    <xf numFmtId="0" fontId="4"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8" fillId="0" borderId="0">
      <alignment horizontal="center"/>
    </xf>
    <xf numFmtId="0" fontId="1" fillId="0" borderId="0" applyNumberFormat="0" applyFill="0" applyBorder="0" applyProtection="0">
      <alignment horizontal="left" vertical="center" indent="2"/>
    </xf>
  </cellStyleXfs>
  <cellXfs count="29">
    <xf numFmtId="0" fontId="0" fillId="0" borderId="0" xfId="0">
      <alignment horizontal="left" vertical="center"/>
    </xf>
    <xf numFmtId="0" fontId="0" fillId="0" borderId="0" xfId="0" applyAlignment="1">
      <alignment horizontal="center" vertical="center"/>
    </xf>
    <xf numFmtId="0" fontId="0" fillId="0" borderId="0" xfId="21" applyFont="1" applyFill="1" applyBorder="1" applyAlignment="1" applyProtection="1">
      <alignment horizontal="center" vertical="center"/>
    </xf>
    <xf numFmtId="0" fontId="6" fillId="2" borderId="0" xfId="3" applyProtection="1">
      <alignment horizontal="center" vertical="center"/>
    </xf>
    <xf numFmtId="0" fontId="1" fillId="2" borderId="0" xfId="21" applyBorder="1" applyAlignment="1" applyProtection="1">
      <alignment horizontal="center" vertical="center"/>
    </xf>
    <xf numFmtId="0" fontId="1" fillId="0" borderId="0" xfId="26" applyFill="1" applyBorder="1" applyAlignment="1">
      <alignment horizontal="center" vertical="center" wrapText="1"/>
    </xf>
    <xf numFmtId="1" fontId="1" fillId="0" borderId="0" xfId="25" applyFill="1" applyBorder="1" applyProtection="1">
      <alignment horizontal="center" vertical="center"/>
    </xf>
    <xf numFmtId="0" fontId="1" fillId="0" borderId="0" xfId="26" applyNumberFormat="1" applyFill="1" applyAlignment="1">
      <alignment horizontal="center" vertical="center" wrapText="1"/>
    </xf>
    <xf numFmtId="1" fontId="1" fillId="0" borderId="0" xfId="25" applyProtection="1">
      <alignment horizontal="center" vertical="center"/>
    </xf>
    <xf numFmtId="0" fontId="7" fillId="0" borderId="0" xfId="1" applyAlignment="1" applyProtection="1">
      <alignment horizontal="center" vertical="center"/>
    </xf>
    <xf numFmtId="0" fontId="1" fillId="0" borderId="0" xfId="26" applyFill="1" applyAlignment="1">
      <alignment horizontal="center" vertical="center" wrapText="1"/>
    </xf>
    <xf numFmtId="1" fontId="1" fillId="0" borderId="0" xfId="25">
      <alignment horizontal="center" vertical="center"/>
    </xf>
    <xf numFmtId="0" fontId="1" fillId="0" borderId="0" xfId="26" applyNumberFormat="1" applyFill="1" applyBorder="1" applyAlignment="1">
      <alignment horizontal="center" vertical="center" wrapText="1"/>
    </xf>
    <xf numFmtId="0" fontId="0" fillId="0" borderId="0" xfId="0" applyAlignment="1">
      <alignment horizontal="left" vertical="center" indent="5"/>
    </xf>
    <xf numFmtId="0" fontId="6" fillId="2" borderId="0" xfId="3" applyAlignment="1" applyProtection="1">
      <alignment horizontal="left" vertical="center" indent="1"/>
    </xf>
    <xf numFmtId="0" fontId="6" fillId="2" borderId="0" xfId="3" applyAlignment="1" applyProtection="1">
      <alignment horizontal="left" vertical="center" indent="2"/>
    </xf>
    <xf numFmtId="0" fontId="0" fillId="0" borderId="0" xfId="0" applyAlignment="1">
      <alignment horizontal="left" vertical="center" indent="2"/>
    </xf>
    <xf numFmtId="0" fontId="7" fillId="0" borderId="0" xfId="1" applyProtection="1">
      <alignment vertical="top"/>
    </xf>
    <xf numFmtId="0" fontId="0" fillId="0" borderId="0" xfId="0" applyAlignment="1">
      <alignment horizontal="left" vertical="center" wrapText="1"/>
    </xf>
    <xf numFmtId="0" fontId="2" fillId="15" borderId="0" xfId="12" applyAlignment="1" applyProtection="1">
      <alignment horizontal="center" vertical="center"/>
    </xf>
    <xf numFmtId="0" fontId="2" fillId="10" borderId="0" xfId="19" applyAlignment="1" applyProtection="1">
      <alignment horizontal="center" vertical="center"/>
    </xf>
    <xf numFmtId="164" fontId="2" fillId="9" borderId="0" xfId="8" applyNumberFormat="1" applyAlignment="1" applyProtection="1">
      <alignment horizontal="center" vertical="center"/>
    </xf>
    <xf numFmtId="0" fontId="2" fillId="20" borderId="0" xfId="4" applyProtection="1">
      <alignment horizontal="right" vertical="center" indent="1"/>
    </xf>
    <xf numFmtId="0" fontId="1" fillId="2" borderId="0" xfId="21" applyAlignment="1" applyProtection="1">
      <alignment horizontal="left" vertical="center"/>
    </xf>
    <xf numFmtId="0" fontId="0" fillId="0" borderId="0" xfId="0" applyAlignment="1">
      <alignment horizontal="left" vertical="center" indent="1"/>
    </xf>
    <xf numFmtId="0" fontId="6" fillId="2" borderId="0" xfId="3" applyAlignment="1" applyProtection="1">
      <alignment horizontal="left" vertical="center" indent="3"/>
    </xf>
    <xf numFmtId="0" fontId="2" fillId="21" borderId="0" xfId="23" applyFill="1" applyAlignment="1" applyProtection="1">
      <alignment horizontal="center" vertical="center"/>
    </xf>
    <xf numFmtId="164" fontId="2" fillId="22" borderId="0" xfId="24" applyNumberFormat="1" applyFill="1" applyAlignment="1" applyProtection="1">
      <alignment horizontal="center" vertical="center"/>
    </xf>
    <xf numFmtId="164" fontId="2" fillId="23" borderId="0" xfId="24" applyNumberFormat="1" applyFill="1" applyAlignment="1" applyProtection="1">
      <alignment horizontal="center" vertical="center"/>
    </xf>
  </cellXfs>
  <cellStyles count="29">
    <cellStyle name="20 % - Accent1" xfId="15" builtinId="30" customBuiltin="1"/>
    <cellStyle name="20 % - Accent3" xfId="21" builtinId="38" customBuiltin="1"/>
    <cellStyle name="20 % - Accent4" xfId="7" builtinId="42" customBuiltin="1"/>
    <cellStyle name="20 % - Accent6" xfId="11" builtinId="50" customBuiltin="1"/>
    <cellStyle name="40 % - Accent1" xfId="16" builtinId="31" customBuiltin="1"/>
    <cellStyle name="40 % - Accent2" xfId="19" builtinId="35" customBuiltin="1"/>
    <cellStyle name="40 % - Accent3" xfId="22" builtinId="39" customBuiltin="1"/>
    <cellStyle name="40 % - Accent4" xfId="8" builtinId="43" customBuiltin="1"/>
    <cellStyle name="40 % - Accent5" xfId="24" builtinId="47" customBuiltin="1"/>
    <cellStyle name="40 % - Accent6" xfId="12" builtinId="51" customBuiltin="1"/>
    <cellStyle name="60 % - Accent1" xfId="17" builtinId="32" customBuiltin="1"/>
    <cellStyle name="60 % - Accent3" xfId="23" builtinId="40" customBuiltin="1"/>
    <cellStyle name="60 % - Accent4" xfId="9" builtinId="44" customBuiltin="1"/>
    <cellStyle name="60 %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6" xfId="10" builtinId="49" customBuiltin="1"/>
    <cellStyle name="Employee" xfId="26" xr:uid="{00000000-0005-0000-0000-000013000000}"/>
    <cellStyle name="Label" xfId="27" xr:uid="{00000000-0005-0000-0000-000018000000}"/>
    <cellStyle name="Normal" xfId="0" builtinId="0"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itre 4 2" xfId="28" xr:uid="{F1066B42-C444-41FB-84AB-8A6074572969}"/>
    <cellStyle name="Total" xfId="25" builtinId="25" customBuiltin="1"/>
  </cellStyles>
  <dxfs count="515">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numFmt numFmtId="164" formatCode="0;0;"/>
      <alignment horizontal="center" vertical="center" textRotation="0" wrapText="0" indent="0" justifyLastLine="0" shrinkToFit="0" readingOrder="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numFmt numFmtId="0" formatCode="General"/>
      <fill>
        <patternFill patternType="none">
          <fgColor indexed="64"/>
          <bgColor indexed="65"/>
        </patternFill>
      </fill>
      <alignment horizontal="center" vertical="center" textRotation="0" indent="0" justifyLastLine="0" shrinkToFit="0" readingOrder="0"/>
      <protection locked="1" hidden="0"/>
    </dxf>
    <dxf>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ill>
        <patternFill patternType="none">
          <fgColor indexed="64"/>
          <bgColor indexed="65"/>
        </patternFill>
      </fill>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0"/>
      </font>
      <border>
        <vertical/>
        <horizontal/>
      </border>
    </dxf>
    <dxf>
      <font>
        <b val="0"/>
        <i val="0"/>
        <color theme="3"/>
      </font>
      <border>
        <vertical/>
        <horizontal/>
      </border>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ill>
        <patternFill patternType="none">
          <fgColor indexed="64"/>
          <bgColor indexed="65"/>
        </patternFill>
      </fill>
      <alignment horizontal="center" vertical="center" textRotation="0" indent="0" justifyLastLine="0" shrinkToFit="0" readingOrder="0"/>
    </dxf>
    <dxf>
      <alignment horizontal="center" vertical="center" textRotation="0" indent="0" justifyLastLine="0" shrinkToFit="0" readingOrder="0"/>
      <protection locked="1" hidden="0"/>
    </dxf>
    <dxf>
      <alignment horizontal="center" vertical="center" textRotation="0" indent="0" justifyLastLine="0" shrinkToFit="0" readingOrder="0"/>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ill>
        <patternFill patternType="solid">
          <bgColor theme="6" tint="0.79998168889431442"/>
        </patternFill>
      </fill>
      <border diagonalUp="0" diagonalDown="0">
        <left/>
        <right/>
        <top style="thin">
          <color theme="0" tint="-0.14996795556505021"/>
        </top>
        <bottom style="medium">
          <color theme="2" tint="-0.499984740745262"/>
        </bottom>
        <vertical/>
        <horizontal/>
      </border>
    </dxf>
    <dxf>
      <font>
        <color theme="1"/>
      </font>
      <fill>
        <patternFill patternType="solid">
          <bgColor theme="6" tint="0.79998168889431442"/>
        </patternFill>
      </fill>
      <border diagonalUp="0" diagonalDown="0">
        <left/>
        <right/>
        <top style="thin">
          <color theme="0" tint="-0.14993743705557422"/>
        </top>
        <bottom style="medium">
          <color theme="2" tint="-0.499984740745262"/>
        </bottom>
        <vertical/>
        <horizontal style="thin">
          <color theme="0" tint="-0.14993743705557422"/>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vertical style="thin">
          <color theme="0"/>
        </vertical>
      </border>
    </dxf>
    <dxf>
      <fill>
        <patternFill>
          <bgColor theme="0" tint="-0.14996795556505021"/>
        </patternFill>
      </fill>
    </dxf>
    <dxf>
      <fill>
        <patternFill patternType="solid">
          <fgColor theme="4" tint="0.79992065187536243"/>
          <bgColor theme="0" tint="-4.9989318521683403E-2"/>
        </patternFill>
      </fill>
    </dxf>
    <dxf>
      <font>
        <color theme="1"/>
      </font>
      <fill>
        <patternFill patternType="none">
          <bgColor auto="1"/>
        </patternFill>
      </fill>
      <border diagonalUp="0" diagonalDown="0">
        <left/>
        <right/>
        <top/>
        <bottom style="thin">
          <color theme="0" tint="-0.14996795556505021"/>
        </bottom>
        <vertical/>
        <horizontal style="thin">
          <color theme="0" tint="-0.14996795556505021"/>
        </horizontal>
      </border>
    </dxf>
    <dxf>
      <font>
        <color theme="1"/>
      </font>
      <fill>
        <patternFill patternType="none">
          <bgColor auto="1"/>
        </patternFill>
      </fill>
      <border>
        <left/>
        <right/>
        <top style="thin">
          <color theme="2" tint="-9.9917600024414813E-2"/>
        </top>
        <bottom style="thin">
          <color theme="2" tint="-9.9948118533890809E-2"/>
        </bottom>
        <vertical/>
        <horizontal style="thin">
          <color theme="2" tint="-9.9917600024414813E-2"/>
        </horizontal>
      </border>
    </dxf>
    <dxf>
      <font>
        <color theme="1"/>
      </font>
      <fill>
        <patternFill>
          <bgColor theme="6" tint="0.79998168889431442"/>
        </patternFill>
      </fill>
      <border diagonalUp="0" diagonalDown="0">
        <left style="thin">
          <color theme="0"/>
        </left>
        <right style="thin">
          <color theme="0"/>
        </right>
        <top/>
        <bottom style="medium">
          <color theme="2" tint="-0.499984740745262"/>
        </bottom>
        <vertical style="thin">
          <color theme="0"/>
        </vertical>
        <horizontal/>
      </border>
    </dxf>
    <dxf>
      <font>
        <color theme="0"/>
      </font>
      <fill>
        <patternFill>
          <bgColor theme="3"/>
        </patternFill>
      </fill>
    </dxf>
    <dxf>
      <font>
        <color theme="1"/>
      </font>
      <border diagonalUp="0" diagonalDown="0">
        <left/>
        <right/>
        <top/>
        <bottom/>
        <vertical style="thin">
          <color theme="0"/>
        </vertical>
        <horizontal/>
      </border>
    </dxf>
  </dxfs>
  <tableStyles count="1" defaultTableStyle="Employee Absence Table" defaultPivotStyle="PivotStyleLight16">
    <tableStyle name="Employee Absence Table" pivot="0" count="13" xr9:uid="{00000000-0011-0000-FFFF-FFFF00000000}">
      <tableStyleElement type="wholeTable" dxfId="514"/>
      <tableStyleElement type="headerRow" dxfId="513"/>
      <tableStyleElement type="totalRow" dxfId="512"/>
      <tableStyleElement type="firstColumn" dxfId="511"/>
      <tableStyleElement type="lastColumn" dxfId="510"/>
      <tableStyleElement type="firstRowStripe" dxfId="509"/>
      <tableStyleElement type="secondRowStripe" dxfId="508"/>
      <tableStyleElement type="firstColumnStripe" dxfId="507"/>
      <tableStyleElement type="secondColumnStripe" dxfId="506"/>
      <tableStyleElement type="firstHeaderCell" dxfId="505"/>
      <tableStyleElement type="lastHeaderCell" dxfId="504"/>
      <tableStyleElement type="firstTotalCell" dxfId="503"/>
      <tableStyleElement type="lastTotalCell" dxfId="502"/>
    </tableStyle>
  </tableStyles>
  <colors>
    <mruColors>
      <color rgb="FF66FF66"/>
      <color rgb="FFB9C2DF"/>
      <color rgb="FF00FF00"/>
      <color rgb="FF0000FF"/>
      <color rgb="FFA8D2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January" displayName="January" ref="B6:AH12" totalsRowShown="0" headerRowDxfId="496" dataDxfId="495">
  <autoFilter ref="B6:AH12"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000-000001000000}" name="Employées" dataDxfId="494" dataCellStyle="Employee"/>
    <tableColumn id="2" xr3:uid="{00000000-0010-0000-0000-000002000000}" name="1" dataDxfId="493" dataCellStyle="Total"/>
    <tableColumn id="3" xr3:uid="{00000000-0010-0000-0000-000003000000}" name="2" dataDxfId="492" dataCellStyle="Total"/>
    <tableColumn id="4" xr3:uid="{00000000-0010-0000-0000-000004000000}" name="3" dataDxfId="491" dataCellStyle="Total"/>
    <tableColumn id="5" xr3:uid="{00000000-0010-0000-0000-000005000000}" name="4" dataDxfId="490" dataCellStyle="Total"/>
    <tableColumn id="6" xr3:uid="{00000000-0010-0000-0000-000006000000}" name="5" dataDxfId="489" dataCellStyle="Total"/>
    <tableColumn id="7" xr3:uid="{00000000-0010-0000-0000-000007000000}" name="6" dataDxfId="488" dataCellStyle="Total"/>
    <tableColumn id="8" xr3:uid="{00000000-0010-0000-0000-000008000000}" name="7" dataDxfId="487" dataCellStyle="Total"/>
    <tableColumn id="9" xr3:uid="{00000000-0010-0000-0000-000009000000}" name="8" dataDxfId="486" dataCellStyle="Total"/>
    <tableColumn id="10" xr3:uid="{00000000-0010-0000-0000-00000A000000}" name="9" dataDxfId="485" dataCellStyle="Total"/>
    <tableColumn id="11" xr3:uid="{00000000-0010-0000-0000-00000B000000}" name="10" dataDxfId="484" dataCellStyle="Total"/>
    <tableColumn id="12" xr3:uid="{00000000-0010-0000-0000-00000C000000}" name="11" dataDxfId="483" dataCellStyle="Total"/>
    <tableColumn id="13" xr3:uid="{00000000-0010-0000-0000-00000D000000}" name="12" dataDxfId="482" dataCellStyle="Total"/>
    <tableColumn id="14" xr3:uid="{00000000-0010-0000-0000-00000E000000}" name="13" dataDxfId="481" dataCellStyle="Total"/>
    <tableColumn id="15" xr3:uid="{00000000-0010-0000-0000-00000F000000}" name="14" dataDxfId="480" dataCellStyle="Total"/>
    <tableColumn id="16" xr3:uid="{00000000-0010-0000-0000-000010000000}" name="15" dataDxfId="479" dataCellStyle="Total"/>
    <tableColumn id="17" xr3:uid="{00000000-0010-0000-0000-000011000000}" name="16" dataDxfId="478" dataCellStyle="Total"/>
    <tableColumn id="18" xr3:uid="{00000000-0010-0000-0000-000012000000}" name="17" dataDxfId="477" dataCellStyle="Total"/>
    <tableColumn id="19" xr3:uid="{00000000-0010-0000-0000-000013000000}" name="18" dataDxfId="476" dataCellStyle="Total"/>
    <tableColumn id="20" xr3:uid="{00000000-0010-0000-0000-000014000000}" name="19" dataDxfId="475" dataCellStyle="Total"/>
    <tableColumn id="21" xr3:uid="{00000000-0010-0000-0000-000015000000}" name="20" dataDxfId="474" dataCellStyle="Total"/>
    <tableColumn id="22" xr3:uid="{00000000-0010-0000-0000-000016000000}" name="21" dataDxfId="473" dataCellStyle="Total"/>
    <tableColumn id="23" xr3:uid="{00000000-0010-0000-0000-000017000000}" name="22" dataDxfId="472" dataCellStyle="Total"/>
    <tableColumn id="24" xr3:uid="{00000000-0010-0000-0000-000018000000}" name="23" dataDxfId="471" dataCellStyle="Total"/>
    <tableColumn id="25" xr3:uid="{00000000-0010-0000-0000-000019000000}" name="24" dataDxfId="470" dataCellStyle="Total"/>
    <tableColumn id="26" xr3:uid="{00000000-0010-0000-0000-00001A000000}" name="25" dataDxfId="469" dataCellStyle="Total"/>
    <tableColumn id="27" xr3:uid="{00000000-0010-0000-0000-00001B000000}" name="26" dataDxfId="468" dataCellStyle="Total"/>
    <tableColumn id="28" xr3:uid="{00000000-0010-0000-0000-00001C000000}" name="27" dataDxfId="467" dataCellStyle="Total"/>
    <tableColumn id="29" xr3:uid="{00000000-0010-0000-0000-00001D000000}" name="28" dataDxfId="466" dataCellStyle="Total"/>
    <tableColumn id="30" xr3:uid="{00000000-0010-0000-0000-00001E000000}" name="29" dataDxfId="465" dataCellStyle="Total"/>
    <tableColumn id="31" xr3:uid="{00000000-0010-0000-0000-00001F000000}" name="30" dataDxfId="464" dataCellStyle="Total"/>
    <tableColumn id="32" xr3:uid="{00000000-0010-0000-0000-000020000000}" name="31" dataDxfId="463" dataCellStyle="Total"/>
    <tableColumn id="33" xr3:uid="{00000000-0010-0000-0000-000021000000}" name="Total Days" dataDxfId="462"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uary" displayName="February" ref="B6:AH12" totalsRowShown="0" headerRowDxfId="454" dataDxfId="453">
  <tableColumns count="33">
    <tableColumn id="1" xr3:uid="{00000000-0010-0000-0100-000001000000}" name="Employées" dataDxfId="452" dataCellStyle="Employee"/>
    <tableColumn id="2" xr3:uid="{00000000-0010-0000-0100-000002000000}" name="1" dataDxfId="451" dataCellStyle="Total"/>
    <tableColumn id="3" xr3:uid="{00000000-0010-0000-0100-000003000000}" name="2" dataDxfId="450" dataCellStyle="Total"/>
    <tableColumn id="4" xr3:uid="{00000000-0010-0000-0100-000004000000}" name="3" dataDxfId="449" dataCellStyle="Total"/>
    <tableColumn id="5" xr3:uid="{00000000-0010-0000-0100-000005000000}" name="4" dataDxfId="448" dataCellStyle="Total"/>
    <tableColumn id="6" xr3:uid="{00000000-0010-0000-0100-000006000000}" name="5" dataDxfId="447" dataCellStyle="Total"/>
    <tableColumn id="7" xr3:uid="{00000000-0010-0000-0100-000007000000}" name="6" dataDxfId="446" dataCellStyle="Total"/>
    <tableColumn id="8" xr3:uid="{00000000-0010-0000-0100-000008000000}" name="7" dataDxfId="445" dataCellStyle="Total"/>
    <tableColumn id="9" xr3:uid="{00000000-0010-0000-0100-000009000000}" name="8" dataDxfId="444" dataCellStyle="Total"/>
    <tableColumn id="10" xr3:uid="{00000000-0010-0000-0100-00000A000000}" name="9" dataDxfId="443" dataCellStyle="Total"/>
    <tableColumn id="11" xr3:uid="{00000000-0010-0000-0100-00000B000000}" name="10" dataDxfId="442" dataCellStyle="Total"/>
    <tableColumn id="12" xr3:uid="{00000000-0010-0000-0100-00000C000000}" name="11" dataDxfId="441" dataCellStyle="Total"/>
    <tableColumn id="13" xr3:uid="{00000000-0010-0000-0100-00000D000000}" name="12" dataDxfId="440" dataCellStyle="Total"/>
    <tableColumn id="14" xr3:uid="{00000000-0010-0000-0100-00000E000000}" name="13" dataDxfId="439" dataCellStyle="Total"/>
    <tableColumn id="15" xr3:uid="{00000000-0010-0000-0100-00000F000000}" name="14" dataDxfId="438" dataCellStyle="Total"/>
    <tableColumn id="16" xr3:uid="{00000000-0010-0000-0100-000010000000}" name="15" dataDxfId="437" dataCellStyle="Total"/>
    <tableColumn id="17" xr3:uid="{00000000-0010-0000-0100-000011000000}" name="16" dataDxfId="436" dataCellStyle="Total"/>
    <tableColumn id="18" xr3:uid="{00000000-0010-0000-0100-000012000000}" name="17" dataDxfId="435" dataCellStyle="Total"/>
    <tableColumn id="19" xr3:uid="{00000000-0010-0000-0100-000013000000}" name="18" dataDxfId="434" dataCellStyle="Total"/>
    <tableColumn id="20" xr3:uid="{00000000-0010-0000-0100-000014000000}" name="19" dataDxfId="433" dataCellStyle="Total"/>
    <tableColumn id="21" xr3:uid="{00000000-0010-0000-0100-000015000000}" name="20" dataDxfId="432" dataCellStyle="Total"/>
    <tableColumn id="22" xr3:uid="{00000000-0010-0000-0100-000016000000}" name="21" dataDxfId="431" dataCellStyle="Total"/>
    <tableColumn id="23" xr3:uid="{00000000-0010-0000-0100-000017000000}" name="22" dataDxfId="430" dataCellStyle="Total"/>
    <tableColumn id="24" xr3:uid="{00000000-0010-0000-0100-000018000000}" name="23" dataDxfId="429" dataCellStyle="Total"/>
    <tableColumn id="25" xr3:uid="{00000000-0010-0000-0100-000019000000}" name="24" dataDxfId="428" dataCellStyle="Total"/>
    <tableColumn id="26" xr3:uid="{00000000-0010-0000-0100-00001A000000}" name="25" dataDxfId="427" dataCellStyle="Total"/>
    <tableColumn id="27" xr3:uid="{00000000-0010-0000-0100-00001B000000}" name="26" dataDxfId="426" dataCellStyle="Total"/>
    <tableColumn id="28" xr3:uid="{00000000-0010-0000-0100-00001C000000}" name="27" dataDxfId="425" dataCellStyle="Total"/>
    <tableColumn id="29" xr3:uid="{00000000-0010-0000-0100-00001D000000}" name="28" dataDxfId="424" dataCellStyle="Total"/>
    <tableColumn id="30" xr3:uid="{00000000-0010-0000-0100-00001E000000}" name="29" dataDxfId="423" dataCellStyle="Total"/>
    <tableColumn id="31" xr3:uid="{00000000-0010-0000-0100-00001F000000}" name=" " dataDxfId="422" dataCellStyle="Total"/>
    <tableColumn id="32" xr3:uid="{00000000-0010-0000-0100-000020000000}" name="  " dataDxfId="421" dataCellStyle="Total"/>
    <tableColumn id="33" xr3:uid="{00000000-0010-0000-0100-000021000000}" name="Total Days" dataDxfId="420"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March" displayName="March" ref="B6:AH12" totalsRowShown="0" headerRowDxfId="414" dataDxfId="413" totalsRowDxfId="412">
  <tableColumns count="33">
    <tableColumn id="1" xr3:uid="{00000000-0010-0000-0200-000001000000}" name="Employées" dataDxfId="411" dataCellStyle="Employee"/>
    <tableColumn id="2" xr3:uid="{00000000-0010-0000-0200-000002000000}" name="1" dataDxfId="410"/>
    <tableColumn id="3" xr3:uid="{00000000-0010-0000-0200-000003000000}" name="2" dataDxfId="409"/>
    <tableColumn id="4" xr3:uid="{00000000-0010-0000-0200-000004000000}" name="3" dataDxfId="408"/>
    <tableColumn id="5" xr3:uid="{00000000-0010-0000-0200-000005000000}" name="4" dataDxfId="407"/>
    <tableColumn id="6" xr3:uid="{00000000-0010-0000-0200-000006000000}" name="5" dataDxfId="406"/>
    <tableColumn id="7" xr3:uid="{00000000-0010-0000-0200-000007000000}" name="6" dataDxfId="405"/>
    <tableColumn id="8" xr3:uid="{00000000-0010-0000-0200-000008000000}" name="7" dataDxfId="404"/>
    <tableColumn id="9" xr3:uid="{00000000-0010-0000-0200-000009000000}" name="8" dataDxfId="403"/>
    <tableColumn id="10" xr3:uid="{00000000-0010-0000-0200-00000A000000}" name="9" dataDxfId="402"/>
    <tableColumn id="11" xr3:uid="{00000000-0010-0000-0200-00000B000000}" name="10" dataDxfId="401"/>
    <tableColumn id="12" xr3:uid="{00000000-0010-0000-0200-00000C000000}" name="11" dataDxfId="400"/>
    <tableColumn id="13" xr3:uid="{00000000-0010-0000-0200-00000D000000}" name="12" dataDxfId="399"/>
    <tableColumn id="14" xr3:uid="{00000000-0010-0000-0200-00000E000000}" name="13" dataDxfId="398"/>
    <tableColumn id="15" xr3:uid="{00000000-0010-0000-0200-00000F000000}" name="14" dataDxfId="397"/>
    <tableColumn id="16" xr3:uid="{00000000-0010-0000-0200-000010000000}" name="15" dataDxfId="396"/>
    <tableColumn id="17" xr3:uid="{00000000-0010-0000-0200-000011000000}" name="16" dataDxfId="395"/>
    <tableColumn id="18" xr3:uid="{00000000-0010-0000-0200-000012000000}" name="17" dataDxfId="394"/>
    <tableColumn id="19" xr3:uid="{00000000-0010-0000-0200-000013000000}" name="18" dataDxfId="393"/>
    <tableColumn id="20" xr3:uid="{00000000-0010-0000-0200-000014000000}" name="19" dataDxfId="392"/>
    <tableColumn id="21" xr3:uid="{00000000-0010-0000-0200-000015000000}" name="20" dataDxfId="391"/>
    <tableColumn id="22" xr3:uid="{00000000-0010-0000-0200-000016000000}" name="21" dataDxfId="390"/>
    <tableColumn id="23" xr3:uid="{00000000-0010-0000-0200-000017000000}" name="22" dataDxfId="389"/>
    <tableColumn id="24" xr3:uid="{00000000-0010-0000-0200-000018000000}" name="23" dataDxfId="388"/>
    <tableColumn id="25" xr3:uid="{00000000-0010-0000-0200-000019000000}" name="24" dataDxfId="387"/>
    <tableColumn id="26" xr3:uid="{00000000-0010-0000-0200-00001A000000}" name="25" dataDxfId="386"/>
    <tableColumn id="27" xr3:uid="{00000000-0010-0000-0200-00001B000000}" name="26" dataDxfId="385"/>
    <tableColumn id="28" xr3:uid="{00000000-0010-0000-0200-00001C000000}" name="27" dataDxfId="384"/>
    <tableColumn id="29" xr3:uid="{00000000-0010-0000-0200-00001D000000}" name="28" dataDxfId="383"/>
    <tableColumn id="30" xr3:uid="{00000000-0010-0000-0200-00001E000000}" name="29" dataDxfId="382"/>
    <tableColumn id="31" xr3:uid="{00000000-0010-0000-0200-00001F000000}" name="30" dataDxfId="381"/>
    <tableColumn id="32" xr3:uid="{00000000-0010-0000-0200-000020000000}" name="31" dataDxfId="380" dataCellStyle="Total"/>
    <tableColumn id="33" xr3:uid="{00000000-0010-0000-0200-000021000000}" name="Total Days" dataDxfId="379" totalsRowDxfId="378"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April" displayName="April" ref="B6:AH12" totalsRowShown="0" headerRowDxfId="372" dataDxfId="371" totalsRowDxfId="370">
  <tableColumns count="33">
    <tableColumn id="1" xr3:uid="{00000000-0010-0000-0300-000001000000}" name="Employées" dataDxfId="369" dataCellStyle="Employee"/>
    <tableColumn id="2" xr3:uid="{00000000-0010-0000-0300-000002000000}" name="1" dataDxfId="368"/>
    <tableColumn id="3" xr3:uid="{00000000-0010-0000-0300-000003000000}" name="2" dataDxfId="367"/>
    <tableColumn id="4" xr3:uid="{00000000-0010-0000-0300-000004000000}" name="3" dataDxfId="366"/>
    <tableColumn id="5" xr3:uid="{00000000-0010-0000-0300-000005000000}" name="4" dataDxfId="365"/>
    <tableColumn id="6" xr3:uid="{00000000-0010-0000-0300-000006000000}" name="5" dataDxfId="364"/>
    <tableColumn id="7" xr3:uid="{00000000-0010-0000-0300-000007000000}" name="6" dataDxfId="363"/>
    <tableColumn id="8" xr3:uid="{00000000-0010-0000-0300-000008000000}" name="7" dataDxfId="362"/>
    <tableColumn id="9" xr3:uid="{00000000-0010-0000-0300-000009000000}" name="8" dataDxfId="361"/>
    <tableColumn id="10" xr3:uid="{00000000-0010-0000-0300-00000A000000}" name="9" dataDxfId="360"/>
    <tableColumn id="11" xr3:uid="{00000000-0010-0000-0300-00000B000000}" name="10" dataDxfId="359"/>
    <tableColumn id="12" xr3:uid="{00000000-0010-0000-0300-00000C000000}" name="11" dataDxfId="358"/>
    <tableColumn id="13" xr3:uid="{00000000-0010-0000-0300-00000D000000}" name="12" dataDxfId="357"/>
    <tableColumn id="14" xr3:uid="{00000000-0010-0000-0300-00000E000000}" name="13" dataDxfId="356"/>
    <tableColumn id="15" xr3:uid="{00000000-0010-0000-0300-00000F000000}" name="14" dataDxfId="355"/>
    <tableColumn id="16" xr3:uid="{00000000-0010-0000-0300-000010000000}" name="15" dataDxfId="354"/>
    <tableColumn id="17" xr3:uid="{00000000-0010-0000-0300-000011000000}" name="16" dataDxfId="353"/>
    <tableColumn id="18" xr3:uid="{00000000-0010-0000-0300-000012000000}" name="17" dataDxfId="352"/>
    <tableColumn id="19" xr3:uid="{00000000-0010-0000-0300-000013000000}" name="18" dataDxfId="351"/>
    <tableColumn id="20" xr3:uid="{00000000-0010-0000-0300-000014000000}" name="19" dataDxfId="350"/>
    <tableColumn id="21" xr3:uid="{00000000-0010-0000-0300-000015000000}" name="20" dataDxfId="349"/>
    <tableColumn id="22" xr3:uid="{00000000-0010-0000-0300-000016000000}" name="21" dataDxfId="348"/>
    <tableColumn id="23" xr3:uid="{00000000-0010-0000-0300-000017000000}" name="22" dataDxfId="347"/>
    <tableColumn id="24" xr3:uid="{00000000-0010-0000-0300-000018000000}" name="23" dataDxfId="346"/>
    <tableColumn id="25" xr3:uid="{00000000-0010-0000-0300-000019000000}" name="24" dataDxfId="345"/>
    <tableColumn id="26" xr3:uid="{00000000-0010-0000-0300-00001A000000}" name="25" dataDxfId="344"/>
    <tableColumn id="27" xr3:uid="{00000000-0010-0000-0300-00001B000000}" name="26" dataDxfId="343"/>
    <tableColumn id="28" xr3:uid="{00000000-0010-0000-0300-00001C000000}" name="27" dataDxfId="342"/>
    <tableColumn id="29" xr3:uid="{00000000-0010-0000-0300-00001D000000}" name="28" dataDxfId="341"/>
    <tableColumn id="30" xr3:uid="{00000000-0010-0000-0300-00001E000000}" name="29" dataDxfId="340"/>
    <tableColumn id="31" xr3:uid="{00000000-0010-0000-0300-00001F000000}" name="30" dataDxfId="339"/>
    <tableColumn id="32" xr3:uid="{00000000-0010-0000-0300-000020000000}" name="31" dataDxfId="338" dataCellStyle="Total"/>
    <tableColumn id="33" xr3:uid="{00000000-0010-0000-0300-000021000000}" name="Total Days" dataDxfId="337" totalsRowDxfId="336"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May" displayName="May" ref="B6:AH12" totalsRowShown="0" headerRowDxfId="330" dataDxfId="329" totalsRowDxfId="328">
  <tableColumns count="33">
    <tableColumn id="1" xr3:uid="{00000000-0010-0000-0400-000001000000}" name="Employées" dataDxfId="327" dataCellStyle="Employee"/>
    <tableColumn id="2" xr3:uid="{00000000-0010-0000-0400-000002000000}" name="1" dataDxfId="326"/>
    <tableColumn id="3" xr3:uid="{00000000-0010-0000-0400-000003000000}" name="2" dataDxfId="325"/>
    <tableColumn id="4" xr3:uid="{00000000-0010-0000-0400-000004000000}" name="3" dataDxfId="324"/>
    <tableColumn id="5" xr3:uid="{00000000-0010-0000-0400-000005000000}" name="4" dataDxfId="323"/>
    <tableColumn id="6" xr3:uid="{00000000-0010-0000-0400-000006000000}" name="5" dataDxfId="322"/>
    <tableColumn id="7" xr3:uid="{00000000-0010-0000-0400-000007000000}" name="6" dataDxfId="321"/>
    <tableColumn id="8" xr3:uid="{00000000-0010-0000-0400-000008000000}" name="7" dataDxfId="320"/>
    <tableColumn id="9" xr3:uid="{00000000-0010-0000-0400-000009000000}" name="8" dataDxfId="319"/>
    <tableColumn id="10" xr3:uid="{00000000-0010-0000-0400-00000A000000}" name="9" dataDxfId="318"/>
    <tableColumn id="11" xr3:uid="{00000000-0010-0000-0400-00000B000000}" name="10" dataDxfId="317"/>
    <tableColumn id="12" xr3:uid="{00000000-0010-0000-0400-00000C000000}" name="11" dataDxfId="316"/>
    <tableColumn id="13" xr3:uid="{00000000-0010-0000-0400-00000D000000}" name="12" dataDxfId="315"/>
    <tableColumn id="14" xr3:uid="{00000000-0010-0000-0400-00000E000000}" name="13" dataDxfId="314"/>
    <tableColumn id="15" xr3:uid="{00000000-0010-0000-0400-00000F000000}" name="14" dataDxfId="313"/>
    <tableColumn id="16" xr3:uid="{00000000-0010-0000-0400-000010000000}" name="15" dataDxfId="312"/>
    <tableColumn id="17" xr3:uid="{00000000-0010-0000-0400-000011000000}" name="16" dataDxfId="311"/>
    <tableColumn id="18" xr3:uid="{00000000-0010-0000-0400-000012000000}" name="17" dataDxfId="310"/>
    <tableColumn id="19" xr3:uid="{00000000-0010-0000-0400-000013000000}" name="18" dataDxfId="309"/>
    <tableColumn id="20" xr3:uid="{00000000-0010-0000-0400-000014000000}" name="19" dataDxfId="308"/>
    <tableColumn id="21" xr3:uid="{00000000-0010-0000-0400-000015000000}" name="20" dataDxfId="307"/>
    <tableColumn id="22" xr3:uid="{00000000-0010-0000-0400-000016000000}" name="21" dataDxfId="306"/>
    <tableColumn id="23" xr3:uid="{00000000-0010-0000-0400-000017000000}" name="22" dataDxfId="305"/>
    <tableColumn id="24" xr3:uid="{00000000-0010-0000-0400-000018000000}" name="23" dataDxfId="304"/>
    <tableColumn id="25" xr3:uid="{00000000-0010-0000-0400-000019000000}" name="24" dataDxfId="303"/>
    <tableColumn id="26" xr3:uid="{00000000-0010-0000-0400-00001A000000}" name="25" dataDxfId="302"/>
    <tableColumn id="27" xr3:uid="{00000000-0010-0000-0400-00001B000000}" name="26" dataDxfId="301"/>
    <tableColumn id="28" xr3:uid="{00000000-0010-0000-0400-00001C000000}" name="27" dataDxfId="300"/>
    <tableColumn id="29" xr3:uid="{00000000-0010-0000-0400-00001D000000}" name="28" dataDxfId="299"/>
    <tableColumn id="30" xr3:uid="{00000000-0010-0000-0400-00001E000000}" name="29" dataDxfId="298"/>
    <tableColumn id="31" xr3:uid="{00000000-0010-0000-0400-00001F000000}" name="30" dataDxfId="297"/>
    <tableColumn id="32" xr3:uid="{00000000-0010-0000-0400-000020000000}" name="31" dataDxfId="296" dataCellStyle="Total"/>
    <tableColumn id="33" xr3:uid="{00000000-0010-0000-0400-000021000000}" name="Total Days" dataDxfId="295" totalsRowDxfId="294"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June" displayName="June" ref="B6:AH12" totalsRowShown="0" headerRowDxfId="288" dataDxfId="287" totalsRowDxfId="286">
  <tableColumns count="33">
    <tableColumn id="1" xr3:uid="{00000000-0010-0000-0500-000001000000}" name="Employées" dataDxfId="285" dataCellStyle="Employee"/>
    <tableColumn id="2" xr3:uid="{00000000-0010-0000-0500-000002000000}" name="1" dataDxfId="284"/>
    <tableColumn id="3" xr3:uid="{00000000-0010-0000-0500-000003000000}" name="2" dataDxfId="283"/>
    <tableColumn id="4" xr3:uid="{00000000-0010-0000-0500-000004000000}" name="3" dataDxfId="282"/>
    <tableColumn id="5" xr3:uid="{00000000-0010-0000-0500-000005000000}" name="4" dataDxfId="281"/>
    <tableColumn id="6" xr3:uid="{00000000-0010-0000-0500-000006000000}" name="5" dataDxfId="280"/>
    <tableColumn id="7" xr3:uid="{00000000-0010-0000-0500-000007000000}" name="6" dataDxfId="279"/>
    <tableColumn id="8" xr3:uid="{00000000-0010-0000-0500-000008000000}" name="7" dataDxfId="278"/>
    <tableColumn id="9" xr3:uid="{00000000-0010-0000-0500-000009000000}" name="8" dataDxfId="277"/>
    <tableColumn id="10" xr3:uid="{00000000-0010-0000-0500-00000A000000}" name="9" dataDxfId="276"/>
    <tableColumn id="11" xr3:uid="{00000000-0010-0000-0500-00000B000000}" name="10" dataDxfId="275"/>
    <tableColumn id="12" xr3:uid="{00000000-0010-0000-0500-00000C000000}" name="11" dataDxfId="274"/>
    <tableColumn id="13" xr3:uid="{00000000-0010-0000-0500-00000D000000}" name="12" dataDxfId="273"/>
    <tableColumn id="14" xr3:uid="{00000000-0010-0000-0500-00000E000000}" name="13" dataDxfId="272"/>
    <tableColumn id="15" xr3:uid="{00000000-0010-0000-0500-00000F000000}" name="14" dataDxfId="271"/>
    <tableColumn id="16" xr3:uid="{00000000-0010-0000-0500-000010000000}" name="15" dataDxfId="270"/>
    <tableColumn id="17" xr3:uid="{00000000-0010-0000-0500-000011000000}" name="16" dataDxfId="269"/>
    <tableColumn id="18" xr3:uid="{00000000-0010-0000-0500-000012000000}" name="17" dataDxfId="268"/>
    <tableColumn id="19" xr3:uid="{00000000-0010-0000-0500-000013000000}" name="18" dataDxfId="267"/>
    <tableColumn id="20" xr3:uid="{00000000-0010-0000-0500-000014000000}" name="19" dataDxfId="266"/>
    <tableColumn id="21" xr3:uid="{00000000-0010-0000-0500-000015000000}" name="20" dataDxfId="265"/>
    <tableColumn id="22" xr3:uid="{00000000-0010-0000-0500-000016000000}" name="21" dataDxfId="264"/>
    <tableColumn id="23" xr3:uid="{00000000-0010-0000-0500-000017000000}" name="22" dataDxfId="263"/>
    <tableColumn id="24" xr3:uid="{00000000-0010-0000-0500-000018000000}" name="23" dataDxfId="262"/>
    <tableColumn id="25" xr3:uid="{00000000-0010-0000-0500-000019000000}" name="24" dataDxfId="261"/>
    <tableColumn id="26" xr3:uid="{00000000-0010-0000-0500-00001A000000}" name="25" dataDxfId="260"/>
    <tableColumn id="27" xr3:uid="{00000000-0010-0000-0500-00001B000000}" name="26" dataDxfId="259"/>
    <tableColumn id="28" xr3:uid="{00000000-0010-0000-0500-00001C000000}" name="27" dataDxfId="258"/>
    <tableColumn id="29" xr3:uid="{00000000-0010-0000-0500-00001D000000}" name="28" dataDxfId="257"/>
    <tableColumn id="30" xr3:uid="{00000000-0010-0000-0500-00001E000000}" name="29" dataDxfId="256"/>
    <tableColumn id="31" xr3:uid="{00000000-0010-0000-0500-00001F000000}" name="30" dataDxfId="255"/>
    <tableColumn id="32" xr3:uid="{00000000-0010-0000-0500-000020000000}" name="31" dataDxfId="254" dataCellStyle="Total"/>
    <tableColumn id="33" xr3:uid="{00000000-0010-0000-0500-000021000000}" name="Total Days" dataDxfId="253" totalsRowDxfId="252"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July" displayName="July" ref="B6:AH12" totalsRowShown="0" headerRowDxfId="246" dataDxfId="245" totalsRowDxfId="244">
  <tableColumns count="33">
    <tableColumn id="1" xr3:uid="{00000000-0010-0000-0600-000001000000}" name="Employées" dataDxfId="243" dataCellStyle="Employee"/>
    <tableColumn id="2" xr3:uid="{00000000-0010-0000-0600-000002000000}" name="1" dataDxfId="242"/>
    <tableColumn id="3" xr3:uid="{00000000-0010-0000-0600-000003000000}" name="2" dataDxfId="241"/>
    <tableColumn id="4" xr3:uid="{00000000-0010-0000-0600-000004000000}" name="3" dataDxfId="240"/>
    <tableColumn id="5" xr3:uid="{00000000-0010-0000-0600-000005000000}" name="4" dataDxfId="239"/>
    <tableColumn id="6" xr3:uid="{00000000-0010-0000-0600-000006000000}" name="5" dataDxfId="238"/>
    <tableColumn id="7" xr3:uid="{00000000-0010-0000-0600-000007000000}" name="6" dataDxfId="237"/>
    <tableColumn id="8" xr3:uid="{00000000-0010-0000-0600-000008000000}" name="7" dataDxfId="236"/>
    <tableColumn id="9" xr3:uid="{00000000-0010-0000-0600-000009000000}" name="8" dataDxfId="235"/>
    <tableColumn id="10" xr3:uid="{00000000-0010-0000-0600-00000A000000}" name="9" dataDxfId="234"/>
    <tableColumn id="11" xr3:uid="{00000000-0010-0000-0600-00000B000000}" name="10" dataDxfId="233"/>
    <tableColumn id="12" xr3:uid="{00000000-0010-0000-0600-00000C000000}" name="11" dataDxfId="232"/>
    <tableColumn id="13" xr3:uid="{00000000-0010-0000-0600-00000D000000}" name="12" dataDxfId="231"/>
    <tableColumn id="14" xr3:uid="{00000000-0010-0000-0600-00000E000000}" name="13" dataDxfId="230"/>
    <tableColumn id="15" xr3:uid="{00000000-0010-0000-0600-00000F000000}" name="14" dataDxfId="229"/>
    <tableColumn id="16" xr3:uid="{00000000-0010-0000-0600-000010000000}" name="15" dataDxfId="228"/>
    <tableColumn id="17" xr3:uid="{00000000-0010-0000-0600-000011000000}" name="16" dataDxfId="227"/>
    <tableColumn id="18" xr3:uid="{00000000-0010-0000-0600-000012000000}" name="17" dataDxfId="226"/>
    <tableColumn id="19" xr3:uid="{00000000-0010-0000-0600-000013000000}" name="18" dataDxfId="225"/>
    <tableColumn id="20" xr3:uid="{00000000-0010-0000-0600-000014000000}" name="19" dataDxfId="224"/>
    <tableColumn id="21" xr3:uid="{00000000-0010-0000-0600-000015000000}" name="20" dataDxfId="223"/>
    <tableColumn id="22" xr3:uid="{00000000-0010-0000-0600-000016000000}" name="21" dataDxfId="222"/>
    <tableColumn id="23" xr3:uid="{00000000-0010-0000-0600-000017000000}" name="22" dataDxfId="221"/>
    <tableColumn id="24" xr3:uid="{00000000-0010-0000-0600-000018000000}" name="23" dataDxfId="220"/>
    <tableColumn id="25" xr3:uid="{00000000-0010-0000-0600-000019000000}" name="24" dataDxfId="219"/>
    <tableColumn id="26" xr3:uid="{00000000-0010-0000-0600-00001A000000}" name="25" dataDxfId="218"/>
    <tableColumn id="27" xr3:uid="{00000000-0010-0000-0600-00001B000000}" name="26" dataDxfId="217"/>
    <tableColumn id="28" xr3:uid="{00000000-0010-0000-0600-00001C000000}" name="27" dataDxfId="216"/>
    <tableColumn id="29" xr3:uid="{00000000-0010-0000-0600-00001D000000}" name="28" dataDxfId="215"/>
    <tableColumn id="30" xr3:uid="{00000000-0010-0000-0600-00001E000000}" name="29" dataDxfId="214"/>
    <tableColumn id="31" xr3:uid="{00000000-0010-0000-0600-00001F000000}" name="30" dataDxfId="213"/>
    <tableColumn id="32" xr3:uid="{00000000-0010-0000-0600-000020000000}" name="31" dataDxfId="212" dataCellStyle="Total"/>
    <tableColumn id="33" xr3:uid="{00000000-0010-0000-0600-000021000000}" name="Total Days" dataDxfId="211" totalsRowDxfId="210" dataCellStyle="Total">
      <calculatedColumnFormula>COUNTA(July[[#This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7000000}" name="August" displayName="August" ref="B6:AH12" totalsRowShown="0" headerRowDxfId="204" dataDxfId="203" totalsRowDxfId="202">
  <tableColumns count="33">
    <tableColumn id="1" xr3:uid="{00000000-0010-0000-0700-000001000000}" name="Employées" dataDxfId="201" dataCellStyle="Employee"/>
    <tableColumn id="2" xr3:uid="{00000000-0010-0000-0700-000002000000}" name="1" dataDxfId="200"/>
    <tableColumn id="3" xr3:uid="{00000000-0010-0000-0700-000003000000}" name="2" dataDxfId="199"/>
    <tableColumn id="4" xr3:uid="{00000000-0010-0000-0700-000004000000}" name="3" dataDxfId="198"/>
    <tableColumn id="5" xr3:uid="{00000000-0010-0000-0700-000005000000}" name="4" dataDxfId="197"/>
    <tableColumn id="6" xr3:uid="{00000000-0010-0000-0700-000006000000}" name="5" dataDxfId="196"/>
    <tableColumn id="7" xr3:uid="{00000000-0010-0000-0700-000007000000}" name="6" dataDxfId="195"/>
    <tableColumn id="8" xr3:uid="{00000000-0010-0000-0700-000008000000}" name="7" dataDxfId="194"/>
    <tableColumn id="9" xr3:uid="{00000000-0010-0000-0700-000009000000}" name="8" dataDxfId="193"/>
    <tableColumn id="10" xr3:uid="{00000000-0010-0000-0700-00000A000000}" name="9" dataDxfId="192"/>
    <tableColumn id="11" xr3:uid="{00000000-0010-0000-0700-00000B000000}" name="10" dataDxfId="191"/>
    <tableColumn id="12" xr3:uid="{00000000-0010-0000-0700-00000C000000}" name="11" dataDxfId="190"/>
    <tableColumn id="13" xr3:uid="{00000000-0010-0000-0700-00000D000000}" name="12" dataDxfId="189"/>
    <tableColumn id="14" xr3:uid="{00000000-0010-0000-0700-00000E000000}" name="13" dataDxfId="188"/>
    <tableColumn id="15" xr3:uid="{00000000-0010-0000-0700-00000F000000}" name="14" dataDxfId="187"/>
    <tableColumn id="16" xr3:uid="{00000000-0010-0000-0700-000010000000}" name="15" dataDxfId="186"/>
    <tableColumn id="17" xr3:uid="{00000000-0010-0000-0700-000011000000}" name="16" dataDxfId="185"/>
    <tableColumn id="18" xr3:uid="{00000000-0010-0000-0700-000012000000}" name="17" dataDxfId="184"/>
    <tableColumn id="19" xr3:uid="{00000000-0010-0000-0700-000013000000}" name="18" dataDxfId="183"/>
    <tableColumn id="20" xr3:uid="{00000000-0010-0000-0700-000014000000}" name="19" dataDxfId="182"/>
    <tableColumn id="21" xr3:uid="{00000000-0010-0000-0700-000015000000}" name="20" dataDxfId="181"/>
    <tableColumn id="22" xr3:uid="{00000000-0010-0000-0700-000016000000}" name="21" dataDxfId="180"/>
    <tableColumn id="23" xr3:uid="{00000000-0010-0000-0700-000017000000}" name="22" dataDxfId="179"/>
    <tableColumn id="24" xr3:uid="{00000000-0010-0000-0700-000018000000}" name="23" dataDxfId="178"/>
    <tableColumn id="25" xr3:uid="{00000000-0010-0000-0700-000019000000}" name="24" dataDxfId="177"/>
    <tableColumn id="26" xr3:uid="{00000000-0010-0000-0700-00001A000000}" name="25" dataDxfId="176"/>
    <tableColumn id="27" xr3:uid="{00000000-0010-0000-0700-00001B000000}" name="26" dataDxfId="175"/>
    <tableColumn id="28" xr3:uid="{00000000-0010-0000-0700-00001C000000}" name="27" dataDxfId="174"/>
    <tableColumn id="29" xr3:uid="{00000000-0010-0000-0700-00001D000000}" name="28" dataDxfId="173"/>
    <tableColumn id="30" xr3:uid="{00000000-0010-0000-0700-00001E000000}" name="29" dataDxfId="172"/>
    <tableColumn id="31" xr3:uid="{00000000-0010-0000-0700-00001F000000}" name="30" dataDxfId="171"/>
    <tableColumn id="32" xr3:uid="{00000000-0010-0000-0700-000020000000}" name="31" dataDxfId="170" dataCellStyle="Total"/>
    <tableColumn id="33" xr3:uid="{00000000-0010-0000-0700-000021000000}" name="Total Days" dataDxfId="169" totalsRowDxfId="168" dataCellStyle="Total">
      <calculatedColumnFormula>COUNTA(August[[#This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September" displayName="September" ref="B6:AH12" totalsRowShown="0" headerRowDxfId="162" dataDxfId="161" totalsRowDxfId="160">
  <tableColumns count="33">
    <tableColumn id="1" xr3:uid="{00000000-0010-0000-0800-000001000000}" name="Employées" dataDxfId="159" dataCellStyle="Employee"/>
    <tableColumn id="2" xr3:uid="{00000000-0010-0000-0800-000002000000}" name="1" dataDxfId="158"/>
    <tableColumn id="3" xr3:uid="{00000000-0010-0000-0800-000003000000}" name="2" dataDxfId="157"/>
    <tableColumn id="4" xr3:uid="{00000000-0010-0000-0800-000004000000}" name="3" dataDxfId="156"/>
    <tableColumn id="5" xr3:uid="{00000000-0010-0000-0800-000005000000}" name="4" dataDxfId="155"/>
    <tableColumn id="6" xr3:uid="{00000000-0010-0000-0800-000006000000}" name="5" dataDxfId="154"/>
    <tableColumn id="7" xr3:uid="{00000000-0010-0000-0800-000007000000}" name="6" dataDxfId="153"/>
    <tableColumn id="8" xr3:uid="{00000000-0010-0000-0800-000008000000}" name="7" dataDxfId="152"/>
    <tableColumn id="9" xr3:uid="{00000000-0010-0000-0800-000009000000}" name="8" dataDxfId="151"/>
    <tableColumn id="10" xr3:uid="{00000000-0010-0000-0800-00000A000000}" name="9" dataDxfId="150"/>
    <tableColumn id="11" xr3:uid="{00000000-0010-0000-0800-00000B000000}" name="10" dataDxfId="149"/>
    <tableColumn id="12" xr3:uid="{00000000-0010-0000-0800-00000C000000}" name="11" dataDxfId="148"/>
    <tableColumn id="13" xr3:uid="{00000000-0010-0000-0800-00000D000000}" name="12" dataDxfId="147"/>
    <tableColumn id="14" xr3:uid="{00000000-0010-0000-0800-00000E000000}" name="13" dataDxfId="146"/>
    <tableColumn id="15" xr3:uid="{00000000-0010-0000-0800-00000F000000}" name="14" dataDxfId="145"/>
    <tableColumn id="16" xr3:uid="{00000000-0010-0000-0800-000010000000}" name="15" dataDxfId="144"/>
    <tableColumn id="17" xr3:uid="{00000000-0010-0000-0800-000011000000}" name="16" dataDxfId="143"/>
    <tableColumn id="18" xr3:uid="{00000000-0010-0000-0800-000012000000}" name="17" dataDxfId="142"/>
    <tableColumn id="19" xr3:uid="{00000000-0010-0000-0800-000013000000}" name="18" dataDxfId="141"/>
    <tableColumn id="20" xr3:uid="{00000000-0010-0000-0800-000014000000}" name="19" dataDxfId="140"/>
    <tableColumn id="21" xr3:uid="{00000000-0010-0000-0800-000015000000}" name="20" dataDxfId="139"/>
    <tableColumn id="22" xr3:uid="{00000000-0010-0000-0800-000016000000}" name="21" dataDxfId="138"/>
    <tableColumn id="23" xr3:uid="{00000000-0010-0000-0800-000017000000}" name="22" dataDxfId="137"/>
    <tableColumn id="24" xr3:uid="{00000000-0010-0000-0800-000018000000}" name="23" dataDxfId="136"/>
    <tableColumn id="25" xr3:uid="{00000000-0010-0000-0800-000019000000}" name="24" dataDxfId="135"/>
    <tableColumn id="26" xr3:uid="{00000000-0010-0000-0800-00001A000000}" name="25" dataDxfId="134"/>
    <tableColumn id="27" xr3:uid="{00000000-0010-0000-0800-00001B000000}" name="26" dataDxfId="133"/>
    <tableColumn id="28" xr3:uid="{00000000-0010-0000-0800-00001C000000}" name="27" dataDxfId="132"/>
    <tableColumn id="29" xr3:uid="{00000000-0010-0000-0800-00001D000000}" name="28" dataDxfId="131"/>
    <tableColumn id="30" xr3:uid="{00000000-0010-0000-0800-00001E000000}" name="29" dataDxfId="130"/>
    <tableColumn id="31" xr3:uid="{00000000-0010-0000-0800-00001F000000}" name="30" dataDxfId="129"/>
    <tableColumn id="32" xr3:uid="{00000000-0010-0000-0800-000020000000}" name="31" dataDxfId="128" dataCellStyle="Total"/>
    <tableColumn id="33" xr3:uid="{00000000-0010-0000-0800-000021000000}" name="Total Days" dataDxfId="127" totalsRowDxfId="126"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9000000}" name="October" displayName="October" ref="B6:AH12" totalsRowShown="0" headerRowDxfId="120" dataDxfId="119" totalsRowDxfId="118">
  <tableColumns count="33">
    <tableColumn id="1" xr3:uid="{00000000-0010-0000-0900-000001000000}" name="Employées" dataDxfId="117" dataCellStyle="Employee"/>
    <tableColumn id="2" xr3:uid="{00000000-0010-0000-0900-000002000000}" name="1" dataDxfId="116"/>
    <tableColumn id="3" xr3:uid="{00000000-0010-0000-0900-000003000000}" name="2" dataDxfId="115"/>
    <tableColumn id="4" xr3:uid="{00000000-0010-0000-0900-000004000000}" name="3" dataDxfId="114"/>
    <tableColumn id="5" xr3:uid="{00000000-0010-0000-0900-000005000000}" name="4" dataDxfId="113"/>
    <tableColumn id="6" xr3:uid="{00000000-0010-0000-0900-000006000000}" name="5" dataDxfId="112"/>
    <tableColumn id="7" xr3:uid="{00000000-0010-0000-0900-000007000000}" name="6" dataDxfId="111"/>
    <tableColumn id="8" xr3:uid="{00000000-0010-0000-0900-000008000000}" name="7" dataDxfId="110"/>
    <tableColumn id="9" xr3:uid="{00000000-0010-0000-0900-000009000000}" name="8" dataDxfId="109"/>
    <tableColumn id="10" xr3:uid="{00000000-0010-0000-0900-00000A000000}" name="9" dataDxfId="108"/>
    <tableColumn id="11" xr3:uid="{00000000-0010-0000-0900-00000B000000}" name="10" dataDxfId="107"/>
    <tableColumn id="12" xr3:uid="{00000000-0010-0000-0900-00000C000000}" name="11" dataDxfId="106"/>
    <tableColumn id="13" xr3:uid="{00000000-0010-0000-0900-00000D000000}" name="12" dataDxfId="105"/>
    <tableColumn id="14" xr3:uid="{00000000-0010-0000-0900-00000E000000}" name="13" dataDxfId="104"/>
    <tableColumn id="15" xr3:uid="{00000000-0010-0000-0900-00000F000000}" name="14" dataDxfId="103"/>
    <tableColumn id="16" xr3:uid="{00000000-0010-0000-0900-000010000000}" name="15" dataDxfId="102"/>
    <tableColumn id="17" xr3:uid="{00000000-0010-0000-0900-000011000000}" name="16" dataDxfId="101"/>
    <tableColumn id="18" xr3:uid="{00000000-0010-0000-0900-000012000000}" name="17" dataDxfId="100"/>
    <tableColumn id="19" xr3:uid="{00000000-0010-0000-0900-000013000000}" name="18" dataDxfId="99"/>
    <tableColumn id="20" xr3:uid="{00000000-0010-0000-0900-000014000000}" name="19" dataDxfId="98"/>
    <tableColumn id="21" xr3:uid="{00000000-0010-0000-0900-000015000000}" name="20" dataDxfId="97"/>
    <tableColumn id="22" xr3:uid="{00000000-0010-0000-0900-000016000000}" name="21" dataDxfId="96"/>
    <tableColumn id="23" xr3:uid="{00000000-0010-0000-0900-000017000000}" name="22" dataDxfId="95"/>
    <tableColumn id="24" xr3:uid="{00000000-0010-0000-0900-000018000000}" name="23" dataDxfId="94"/>
    <tableColumn id="25" xr3:uid="{00000000-0010-0000-0900-000019000000}" name="24" dataDxfId="93"/>
    <tableColumn id="26" xr3:uid="{00000000-0010-0000-0900-00001A000000}" name="25" dataDxfId="92"/>
    <tableColumn id="27" xr3:uid="{00000000-0010-0000-0900-00001B000000}" name="26" dataDxfId="91"/>
    <tableColumn id="28" xr3:uid="{00000000-0010-0000-0900-00001C000000}" name="27" dataDxfId="90"/>
    <tableColumn id="29" xr3:uid="{00000000-0010-0000-0900-00001D000000}" name="28" dataDxfId="89"/>
    <tableColumn id="30" xr3:uid="{00000000-0010-0000-0900-00001E000000}" name="29" dataDxfId="88"/>
    <tableColumn id="31" xr3:uid="{00000000-0010-0000-0900-00001F000000}" name="30" dataDxfId="87"/>
    <tableColumn id="32" xr3:uid="{00000000-0010-0000-0900-000020000000}" name="31" dataDxfId="86" dataCellStyle="Total"/>
    <tableColumn id="33" xr3:uid="{00000000-0010-0000-0900-000021000000}" name="Total Days" dataDxfId="85" totalsRowDxfId="84"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November" displayName="November" ref="B6:AH12" totalsRowShown="0" headerRowDxfId="78" dataDxfId="77" totalsRowDxfId="76">
  <tableColumns count="33">
    <tableColumn id="1" xr3:uid="{00000000-0010-0000-0A00-000001000000}" name="Employées" dataDxfId="75" dataCellStyle="Employee"/>
    <tableColumn id="2" xr3:uid="{00000000-0010-0000-0A00-000002000000}" name="1" dataDxfId="74"/>
    <tableColumn id="3" xr3:uid="{00000000-0010-0000-0A00-000003000000}" name="2" dataDxfId="73"/>
    <tableColumn id="4" xr3:uid="{00000000-0010-0000-0A00-000004000000}" name="3" dataDxfId="72"/>
    <tableColumn id="5" xr3:uid="{00000000-0010-0000-0A00-000005000000}" name="4" dataDxfId="71"/>
    <tableColumn id="6" xr3:uid="{00000000-0010-0000-0A00-000006000000}" name="5" dataDxfId="70"/>
    <tableColumn id="7" xr3:uid="{00000000-0010-0000-0A00-000007000000}" name="6" dataDxfId="69"/>
    <tableColumn id="8" xr3:uid="{00000000-0010-0000-0A00-000008000000}" name="7" dataDxfId="68"/>
    <tableColumn id="9" xr3:uid="{00000000-0010-0000-0A00-000009000000}" name="8" dataDxfId="67"/>
    <tableColumn id="10" xr3:uid="{00000000-0010-0000-0A00-00000A000000}" name="9" dataDxfId="66"/>
    <tableColumn id="11" xr3:uid="{00000000-0010-0000-0A00-00000B000000}" name="10" dataDxfId="65"/>
    <tableColumn id="12" xr3:uid="{00000000-0010-0000-0A00-00000C000000}" name="11" dataDxfId="64"/>
    <tableColumn id="13" xr3:uid="{00000000-0010-0000-0A00-00000D000000}" name="12" dataDxfId="63"/>
    <tableColumn id="14" xr3:uid="{00000000-0010-0000-0A00-00000E000000}" name="13" dataDxfId="62"/>
    <tableColumn id="15" xr3:uid="{00000000-0010-0000-0A00-00000F000000}" name="14" dataDxfId="61"/>
    <tableColumn id="16" xr3:uid="{00000000-0010-0000-0A00-000010000000}" name="15" dataDxfId="60"/>
    <tableColumn id="17" xr3:uid="{00000000-0010-0000-0A00-000011000000}" name="16" dataDxfId="59"/>
    <tableColumn id="18" xr3:uid="{00000000-0010-0000-0A00-000012000000}" name="17" dataDxfId="58"/>
    <tableColumn id="19" xr3:uid="{00000000-0010-0000-0A00-000013000000}" name="18" dataDxfId="57"/>
    <tableColumn id="20" xr3:uid="{00000000-0010-0000-0A00-000014000000}" name="19" dataDxfId="56"/>
    <tableColumn id="21" xr3:uid="{00000000-0010-0000-0A00-000015000000}" name="20" dataDxfId="55"/>
    <tableColumn id="22" xr3:uid="{00000000-0010-0000-0A00-000016000000}" name="21" dataDxfId="54"/>
    <tableColumn id="23" xr3:uid="{00000000-0010-0000-0A00-000017000000}" name="22" dataDxfId="53"/>
    <tableColumn id="24" xr3:uid="{00000000-0010-0000-0A00-000018000000}" name="23" dataDxfId="52"/>
    <tableColumn id="25" xr3:uid="{00000000-0010-0000-0A00-000019000000}" name="24" dataDxfId="51"/>
    <tableColumn id="26" xr3:uid="{00000000-0010-0000-0A00-00001A000000}" name="25" dataDxfId="50"/>
    <tableColumn id="27" xr3:uid="{00000000-0010-0000-0A00-00001B000000}" name="26" dataDxfId="49"/>
    <tableColumn id="28" xr3:uid="{00000000-0010-0000-0A00-00001C000000}" name="27" dataDxfId="48"/>
    <tableColumn id="29" xr3:uid="{00000000-0010-0000-0A00-00001D000000}" name="28" dataDxfId="47"/>
    <tableColumn id="30" xr3:uid="{00000000-0010-0000-0A00-00001E000000}" name="29" dataDxfId="46"/>
    <tableColumn id="31" xr3:uid="{00000000-0010-0000-0A00-00001F000000}" name="30" dataDxfId="45"/>
    <tableColumn id="32" xr3:uid="{00000000-0010-0000-0A00-000020000000}" name="31" dataDxfId="44" dataCellStyle="Total"/>
    <tableColumn id="33" xr3:uid="{00000000-0010-0000-0A00-000021000000}" name="Total Days" dataDxfId="43" totalsRowDxfId="42"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cember" displayName="December" ref="B6:AH12" totalsRowShown="0" headerRowDxfId="36" dataDxfId="35" totalsRowDxfId="34">
  <tableColumns count="33">
    <tableColumn id="1" xr3:uid="{00000000-0010-0000-0B00-000001000000}" name="Employées" dataDxfId="33" dataCellStyle="Employee"/>
    <tableColumn id="2" xr3:uid="{00000000-0010-0000-0B00-000002000000}" name="1" dataDxfId="32"/>
    <tableColumn id="3" xr3:uid="{00000000-0010-0000-0B00-000003000000}" name="2" dataDxfId="31"/>
    <tableColumn id="4" xr3:uid="{00000000-0010-0000-0B00-000004000000}" name="3" dataDxfId="30"/>
    <tableColumn id="5" xr3:uid="{00000000-0010-0000-0B00-000005000000}" name="4" dataDxfId="29"/>
    <tableColumn id="6" xr3:uid="{00000000-0010-0000-0B00-000006000000}" name="5" dataDxfId="28"/>
    <tableColumn id="7" xr3:uid="{00000000-0010-0000-0B00-000007000000}" name="6" dataDxfId="27"/>
    <tableColumn id="8" xr3:uid="{00000000-0010-0000-0B00-000008000000}" name="7" dataDxfId="26"/>
    <tableColumn id="9" xr3:uid="{00000000-0010-0000-0B00-000009000000}" name="8" dataDxfId="25"/>
    <tableColumn id="10" xr3:uid="{00000000-0010-0000-0B00-00000A000000}" name="9" dataDxfId="24"/>
    <tableColumn id="11" xr3:uid="{00000000-0010-0000-0B00-00000B000000}" name="10" dataDxfId="23"/>
    <tableColumn id="12" xr3:uid="{00000000-0010-0000-0B00-00000C000000}" name="11" dataDxfId="22"/>
    <tableColumn id="13" xr3:uid="{00000000-0010-0000-0B00-00000D000000}" name="12" dataDxfId="21"/>
    <tableColumn id="14" xr3:uid="{00000000-0010-0000-0B00-00000E000000}" name="13" dataDxfId="20"/>
    <tableColumn id="15" xr3:uid="{00000000-0010-0000-0B00-00000F000000}" name="14" dataDxfId="19"/>
    <tableColumn id="16" xr3:uid="{00000000-0010-0000-0B00-000010000000}" name="15" dataDxfId="18"/>
    <tableColumn id="17" xr3:uid="{00000000-0010-0000-0B00-000011000000}" name="16" dataDxfId="17"/>
    <tableColumn id="18" xr3:uid="{00000000-0010-0000-0B00-000012000000}" name="17" dataDxfId="16"/>
    <tableColumn id="19" xr3:uid="{00000000-0010-0000-0B00-000013000000}" name="18" dataDxfId="15"/>
    <tableColumn id="20" xr3:uid="{00000000-0010-0000-0B00-000014000000}" name="19" dataDxfId="14"/>
    <tableColumn id="21" xr3:uid="{00000000-0010-0000-0B00-000015000000}" name="20" dataDxfId="13"/>
    <tableColumn id="22" xr3:uid="{00000000-0010-0000-0B00-000016000000}" name="21" dataDxfId="12"/>
    <tableColumn id="23" xr3:uid="{00000000-0010-0000-0B00-000017000000}" name="22" dataDxfId="11"/>
    <tableColumn id="24" xr3:uid="{00000000-0010-0000-0B00-000018000000}" name="23" dataDxfId="10"/>
    <tableColumn id="25" xr3:uid="{00000000-0010-0000-0B00-000019000000}" name="24" dataDxfId="9"/>
    <tableColumn id="26" xr3:uid="{00000000-0010-0000-0B00-00001A000000}" name="25" dataDxfId="8"/>
    <tableColumn id="27" xr3:uid="{00000000-0010-0000-0B00-00001B000000}" name="26" dataDxfId="7"/>
    <tableColumn id="28" xr3:uid="{00000000-0010-0000-0B00-00001C000000}" name="27" dataDxfId="6"/>
    <tableColumn id="29" xr3:uid="{00000000-0010-0000-0B00-00001D000000}" name="28" dataDxfId="5"/>
    <tableColumn id="30" xr3:uid="{00000000-0010-0000-0B00-00001E000000}" name="29" dataDxfId="4"/>
    <tableColumn id="31" xr3:uid="{00000000-0010-0000-0B00-00001F000000}" name="30" dataDxfId="3"/>
    <tableColumn id="32" xr3:uid="{00000000-0010-0000-0B00-000020000000}" name="31" dataDxfId="2" dataCellStyle="Total"/>
    <tableColumn id="33" xr3:uid="{00000000-0010-0000-0B00-000021000000}" name="Total Days" dataDxfId="1" totalsRowDxfId="0"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s a list of names and calendar dates to record employees' absenteeism and specific absence type, such as V=Vacation, S=Sick, P=Personal and two placeholders for custom entries"/>
    </ext>
  </extLst>
</table>
</file>

<file path=xl/theme/theme1.xml><?xml version="1.0" encoding="utf-8"?>
<a:theme xmlns:a="http://schemas.openxmlformats.org/drawingml/2006/main" name="Office Theme">
  <a:themeElements>
    <a:clrScheme name="Employee Absense Schedule">
      <a:dk1>
        <a:sysClr val="windowText" lastClr="000000"/>
      </a:dk1>
      <a:lt1>
        <a:sysClr val="window" lastClr="FFFFFF"/>
      </a:lt1>
      <a:dk2>
        <a:srgbClr val="4B180E"/>
      </a:dk2>
      <a:lt2>
        <a:srgbClr val="F1F2E8"/>
      </a:lt2>
      <a:accent1>
        <a:srgbClr val="A53423"/>
      </a:accent1>
      <a:accent2>
        <a:srgbClr val="E68130"/>
      </a:accent2>
      <a:accent3>
        <a:srgbClr val="9BB05D"/>
      </a:accent3>
      <a:accent4>
        <a:srgbClr val="CC9900"/>
      </a:accent4>
      <a:accent5>
        <a:srgbClr val="4F66AF"/>
      </a:accent5>
      <a:accent6>
        <a:srgbClr val="D0D2D3"/>
      </a:accent6>
      <a:hlink>
        <a:srgbClr val="4F66AF"/>
      </a:hlink>
      <a:folHlink>
        <a:srgbClr val="6B9AC6"/>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89999084444715716"/>
    <pageSetUpPr fitToPage="1"/>
  </sheetPr>
  <dimension ref="A1:AH15"/>
  <sheetViews>
    <sheetView showGridLines="0" topLeftCell="N1" zoomScaleNormal="100" workbookViewId="0">
      <selection activeCell="AH6" sqref="AH6"/>
    </sheetView>
  </sheetViews>
  <sheetFormatPr baseColWidth="10" defaultColWidth="8.88671875" defaultRowHeight="30" customHeight="1" x14ac:dyDescent="0.3"/>
  <cols>
    <col min="1" max="1" width="2.6640625" style="1" customWidth="1"/>
    <col min="2" max="2" width="28.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c r="C3"/>
      <c r="D3"/>
      <c r="E3"/>
      <c r="F3"/>
      <c r="G3"/>
      <c r="H3"/>
      <c r="I3"/>
      <c r="J3"/>
      <c r="K3"/>
      <c r="L3"/>
      <c r="M3"/>
      <c r="N3"/>
      <c r="O3"/>
      <c r="P3"/>
      <c r="Q3"/>
      <c r="R3"/>
      <c r="S3"/>
      <c r="T3"/>
      <c r="U3"/>
      <c r="V3"/>
      <c r="W3"/>
      <c r="X3"/>
      <c r="Y3"/>
      <c r="Z3"/>
      <c r="AA3"/>
      <c r="AB3"/>
      <c r="AC3"/>
      <c r="AD3"/>
      <c r="AE3"/>
      <c r="AF3"/>
      <c r="AG3"/>
      <c r="AH3" t="s">
        <v>51</v>
      </c>
    </row>
    <row r="4" spans="1:34" s="16" customFormat="1" ht="30" customHeight="1" x14ac:dyDescent="0.3">
      <c r="B4" s="14" t="s">
        <v>34</v>
      </c>
      <c r="C4" s="15" t="s">
        <v>61</v>
      </c>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v>2016</v>
      </c>
    </row>
    <row r="5" spans="1:34" ht="15" customHeight="1" x14ac:dyDescent="0.3">
      <c r="B5" s="3"/>
      <c r="C5" s="1" t="str">
        <f>TEXT(WEEKDAY(DATE(CalendarYear,1,1),1),"aaa")</f>
        <v>1900</v>
      </c>
      <c r="D5" s="1" t="str">
        <f>TEXT(WEEKDAY(DATE(CalendarYear,1,2),1),"aaa")</f>
        <v>1900</v>
      </c>
      <c r="E5" s="1" t="str">
        <f>TEXT(WEEKDAY(DATE(CalendarYear,1,3),1),"aaa")</f>
        <v>1900</v>
      </c>
      <c r="F5" s="1" t="str">
        <f>TEXT(WEEKDAY(DATE(CalendarYear,1,4),1),"aaa")</f>
        <v>1900</v>
      </c>
      <c r="G5" s="1" t="str">
        <f>TEXT(WEEKDAY(DATE(CalendarYear,1,5),1),"aaa")</f>
        <v>1900</v>
      </c>
      <c r="H5" s="1" t="str">
        <f>TEXT(WEEKDAY(DATE(CalendarYear,1,6),1),"aaa")</f>
        <v>1900</v>
      </c>
      <c r="I5" s="1" t="str">
        <f>TEXT(WEEKDAY(DATE(CalendarYear,1,7),1),"aaa")</f>
        <v>1900</v>
      </c>
      <c r="J5" s="1" t="str">
        <f>TEXT(WEEKDAY(DATE(CalendarYear,1,8),1),"aaa")</f>
        <v>1900</v>
      </c>
      <c r="K5" s="1" t="str">
        <f>TEXT(WEEKDAY(DATE(CalendarYear,1,9),1),"aaa")</f>
        <v>1900</v>
      </c>
      <c r="L5" s="1" t="str">
        <f>TEXT(WEEKDAY(DATE(CalendarYear,1,10),1),"aaa")</f>
        <v>1900</v>
      </c>
      <c r="M5" s="1" t="str">
        <f>TEXT(WEEKDAY(DATE(CalendarYear,1,11),1),"aaa")</f>
        <v>1900</v>
      </c>
      <c r="N5" s="1" t="str">
        <f>TEXT(WEEKDAY(DATE(CalendarYear,1,12),1),"aaa")</f>
        <v>1900</v>
      </c>
      <c r="O5" s="1" t="str">
        <f>TEXT(WEEKDAY(DATE(CalendarYear,1,13),1),"aaa")</f>
        <v>1900</v>
      </c>
      <c r="P5" s="1" t="str">
        <f>TEXT(WEEKDAY(DATE(CalendarYear,1,14),1),"aaa")</f>
        <v>1900</v>
      </c>
      <c r="Q5" s="1" t="str">
        <f>TEXT(WEEKDAY(DATE(CalendarYear,1,15),1),"aaa")</f>
        <v>1900</v>
      </c>
      <c r="R5" s="1" t="str">
        <f>TEXT(WEEKDAY(DATE(CalendarYear,1,16),1),"aaa")</f>
        <v>1900</v>
      </c>
      <c r="S5" s="1" t="str">
        <f>TEXT(WEEKDAY(DATE(CalendarYear,1,17),1),"aaa")</f>
        <v>1900</v>
      </c>
      <c r="T5" s="1" t="str">
        <f>TEXT(WEEKDAY(DATE(CalendarYear,1,18),1),"aaa")</f>
        <v>1900</v>
      </c>
      <c r="U5" s="1" t="str">
        <f>TEXT(WEEKDAY(DATE(CalendarYear,1,19),1),"aaa")</f>
        <v>1900</v>
      </c>
      <c r="V5" s="1" t="str">
        <f>TEXT(WEEKDAY(DATE(CalendarYear,1,20),1),"aaa")</f>
        <v>1900</v>
      </c>
      <c r="W5" s="1" t="str">
        <f>TEXT(WEEKDAY(DATE(CalendarYear,1,21),1),"aaa")</f>
        <v>1900</v>
      </c>
      <c r="X5" s="1" t="str">
        <f>TEXT(WEEKDAY(DATE(CalendarYear,1,22),1),"aaa")</f>
        <v>1900</v>
      </c>
      <c r="Y5" s="1" t="str">
        <f>TEXT(WEEKDAY(DATE(CalendarYear,1,23),1),"aaa")</f>
        <v>1900</v>
      </c>
      <c r="Z5" s="1" t="str">
        <f>TEXT(WEEKDAY(DATE(CalendarYear,1,24),1),"aaa")</f>
        <v>1900</v>
      </c>
      <c r="AA5" s="1" t="str">
        <f>TEXT(WEEKDAY(DATE(CalendarYear,1,25),1),"aaa")</f>
        <v>1900</v>
      </c>
      <c r="AB5" s="1" t="str">
        <f>TEXT(WEEKDAY(DATE(CalendarYear,1,26),1),"aaa")</f>
        <v>1900</v>
      </c>
      <c r="AC5" s="1" t="str">
        <f>TEXT(WEEKDAY(DATE(CalendarYear,1,27),1),"aaa")</f>
        <v>1900</v>
      </c>
      <c r="AD5" s="1" t="str">
        <f>TEXT(WEEKDAY(DATE(CalendarYear,1,28),1),"aaa")</f>
        <v>1900</v>
      </c>
      <c r="AE5" s="1" t="str">
        <f>TEXT(WEEKDAY(DATE(CalendarYear,1,29),1),"aaa")</f>
        <v>1900</v>
      </c>
      <c r="AF5" s="1" t="str">
        <f>TEXT(WEEKDAY(DATE(CalendarYear,1,30),1),"aaa")</f>
        <v>1900</v>
      </c>
      <c r="AG5" s="1" t="str">
        <f>TEXT(WEEKDAY(DATE(CalendarYear,1,31),1),"aaa")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10"/>
      <c r="C7" s="8"/>
      <c r="D7" s="8"/>
      <c r="E7" s="8"/>
      <c r="F7" s="8"/>
      <c r="G7" s="11"/>
      <c r="H7" s="8"/>
      <c r="I7" s="8"/>
      <c r="J7" s="8"/>
      <c r="K7" s="8"/>
      <c r="L7" s="8"/>
      <c r="M7" s="8"/>
      <c r="N7" s="8"/>
      <c r="O7" s="8"/>
      <c r="P7" s="8"/>
      <c r="Q7" s="8"/>
      <c r="R7" s="8"/>
      <c r="S7" s="8"/>
      <c r="T7" s="8"/>
      <c r="U7" s="8"/>
      <c r="V7" s="8"/>
      <c r="W7" s="8"/>
      <c r="X7" s="8"/>
      <c r="Y7" s="8"/>
      <c r="Z7" s="8"/>
      <c r="AA7" s="8"/>
      <c r="AB7" s="8"/>
      <c r="AC7" s="8"/>
      <c r="AD7" s="8"/>
      <c r="AE7" s="8"/>
      <c r="AF7" s="8"/>
      <c r="AG7" s="8"/>
      <c r="AH7" s="8"/>
    </row>
    <row r="8" spans="1:34" ht="24.6" customHeight="1" x14ac:dyDescent="0.3">
      <c r="B8" s="10"/>
      <c r="C8" s="8"/>
      <c r="D8" s="8"/>
      <c r="E8" s="8"/>
      <c r="F8" s="8"/>
      <c r="G8" s="11"/>
      <c r="H8" s="8"/>
      <c r="I8" s="8"/>
      <c r="J8" s="8"/>
      <c r="K8" s="8"/>
      <c r="L8" s="8"/>
      <c r="M8" s="8"/>
      <c r="N8" s="8"/>
      <c r="O8" s="8"/>
      <c r="P8" s="8"/>
      <c r="Q8" s="8"/>
      <c r="R8" s="8"/>
      <c r="S8" s="8"/>
      <c r="T8" s="8"/>
      <c r="U8" s="8"/>
      <c r="V8" s="8"/>
      <c r="W8" s="8"/>
      <c r="X8" s="8"/>
      <c r="Y8" s="8"/>
      <c r="Z8" s="8"/>
      <c r="AA8" s="8"/>
      <c r="AB8" s="8"/>
      <c r="AC8" s="8"/>
      <c r="AD8" s="8"/>
      <c r="AE8" s="8"/>
      <c r="AF8" s="8"/>
      <c r="AG8" s="8"/>
      <c r="AH8" s="8"/>
    </row>
    <row r="9" spans="1:34" ht="30" customHeight="1" x14ac:dyDescent="0.3">
      <c r="B9" s="10"/>
      <c r="C9" s="8"/>
      <c r="D9" s="8"/>
      <c r="E9" s="8"/>
      <c r="F9" s="8"/>
      <c r="G9" s="11"/>
      <c r="H9" s="8"/>
      <c r="I9" s="8"/>
      <c r="J9" s="8"/>
      <c r="K9" s="8"/>
      <c r="L9" s="8"/>
      <c r="M9" s="8"/>
      <c r="N9" s="8"/>
      <c r="O9" s="8"/>
      <c r="P9" s="8"/>
      <c r="Q9" s="8"/>
      <c r="R9" s="8"/>
      <c r="S9" s="8"/>
      <c r="T9" s="8"/>
      <c r="U9" s="8"/>
      <c r="V9" s="8"/>
      <c r="W9" s="8"/>
      <c r="X9" s="8"/>
      <c r="Y9" s="8"/>
      <c r="Z9" s="8"/>
      <c r="AA9" s="8"/>
      <c r="AB9" s="8"/>
      <c r="AC9" s="8"/>
      <c r="AD9" s="8"/>
      <c r="AE9" s="8"/>
      <c r="AF9" s="8"/>
      <c r="AG9" s="8"/>
      <c r="AH9" s="8"/>
    </row>
    <row r="10" spans="1:34" ht="30" customHeight="1" x14ac:dyDescent="0.3">
      <c r="B10" s="10"/>
      <c r="C10" s="8"/>
      <c r="D10" s="8"/>
      <c r="E10" s="8"/>
      <c r="F10" s="8"/>
      <c r="G10" s="11"/>
      <c r="H10" s="8"/>
      <c r="I10" s="8"/>
      <c r="J10" s="8"/>
      <c r="K10" s="8"/>
      <c r="L10" s="8"/>
      <c r="M10" s="8"/>
      <c r="N10" s="8"/>
      <c r="O10" s="8"/>
      <c r="P10" s="8"/>
      <c r="Q10" s="8"/>
      <c r="R10" s="8"/>
      <c r="S10" s="8"/>
      <c r="T10" s="8"/>
      <c r="U10" s="8"/>
      <c r="V10" s="8"/>
      <c r="W10" s="8"/>
      <c r="X10" s="8"/>
      <c r="Y10" s="8"/>
      <c r="Z10" s="8"/>
      <c r="AA10" s="8"/>
      <c r="AB10" s="8"/>
      <c r="AC10" s="8"/>
      <c r="AD10" s="8"/>
      <c r="AE10" s="8"/>
      <c r="AF10" s="8"/>
      <c r="AG10" s="8"/>
      <c r="AH10" s="8"/>
    </row>
    <row r="11" spans="1:34" ht="30" customHeight="1" x14ac:dyDescent="0.3">
      <c r="B11" s="5"/>
      <c r="AH11" s="6"/>
    </row>
    <row r="12" spans="1:34" ht="30" customHeight="1" x14ac:dyDescent="0.3">
      <c r="B12" s="10"/>
      <c r="C12" s="8"/>
      <c r="D12" s="8"/>
      <c r="E12" s="8"/>
      <c r="F12" s="8"/>
      <c r="G12" s="11"/>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5" spans="1:34" ht="26.4" customHeight="1" x14ac:dyDescent="0.3"/>
  </sheetData>
  <conditionalFormatting sqref="C7:AG12">
    <cfRule type="expression" priority="1" stopIfTrue="1">
      <formula>C7=""</formula>
    </cfRule>
    <cfRule type="expression" dxfId="501" priority="6" stopIfTrue="1">
      <formula>C7=KeyCustom2</formula>
    </cfRule>
    <cfRule type="expression" dxfId="500" priority="7" stopIfTrue="1">
      <formula>C7=KeyCustom1</formula>
    </cfRule>
    <cfRule type="expression" dxfId="499" priority="8" stopIfTrue="1">
      <formula>C7=KeySick</formula>
    </cfRule>
    <cfRule type="expression" dxfId="498" priority="9" stopIfTrue="1">
      <formula>C7=KeyPersonal</formula>
    </cfRule>
    <cfRule type="expression" dxfId="497" priority="10" stopIfTrue="1">
      <formula>C7=KeyVacation</formula>
    </cfRule>
  </conditionalFormatting>
  <conditionalFormatting sqref="AH7:AH12">
    <cfRule type="dataBar" priority="168">
      <dataBar>
        <cfvo type="num" val="0"/>
        <cfvo type="num" val="31"/>
        <color theme="2" tint="-0.249977111117893"/>
      </dataBar>
      <extLst>
        <ext xmlns:x14="http://schemas.microsoft.com/office/spreadsheetml/2009/9/main" uri="{B025F937-C7B1-47D3-B67F-A62EFF666E3E}">
          <x14:id>{ECCE2C3C-1B01-4700-B60E-DAAAB19A9C1A}</x14:id>
        </ext>
      </extLst>
    </cfRule>
  </conditionalFormatting>
  <dataValidations count="10">
    <dataValidation allowBlank="1" showInputMessage="1" showErrorMessage="1" prompt="Enter year in this cell" sqref="AH4" xr:uid="{564693EF-4C26-45DA-9C48-EA441083AF67}"/>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000-000001000000}"/>
    <dataValidation allowBlank="1" showInputMessage="1" showErrorMessage="1" prompt="Days of the month in this row are automatically generated. Enter an employee's absence and absence type in each column for each day of the month. Blank means no absence" sqref="C6" xr:uid="{00000000-0002-0000-0000-000002000000}"/>
    <dataValidation allowBlank="1" showInputMessage="1" showErrorMessage="1" prompt="Weekdays in this row are automatically updated for the month according to the year entered in AH4. Each day of the month is a column to note an employee's absence and absence type" sqref="C5" xr:uid="{38520037-4C5F-4D14-B29E-E3A41EF53F54}"/>
    <dataValidation allowBlank="1" showInputMessage="1" showErrorMessage="1" prompt="Automatically calculates total number of days an employee was absent this month" sqref="AH6" xr:uid="{00000000-0002-0000-0000-000004000000}"/>
    <dataValidation allowBlank="1" showInputMessage="1" showErrorMessage="1" prompt="Title of the worksheet is in this cell. Update the title and each worksheet will automatically inherit the change" sqref="B1:B2" xr:uid="{00000000-0002-0000-0000-000005000000}"/>
    <dataValidation allowBlank="1" showInputMessage="1" showErrorMessage="1" prompt="Month of this absence schedule. Update the year in cell AH4. Track totals by month in the last cell of the table. Enter employee names in table column B" sqref="B4" xr:uid="{15C55C89-2101-4393-BB3C-29D9061F3757}"/>
    <dataValidation allowBlank="1" showInputMessage="1" showErrorMessage="1" prompt="Employee Absence Schedule tracks employee absence by days for each month. There are 13 worksheets, 12 monthly &amp; last one for employee names. Track January absence in this worksheet" sqref="A1:A2" xr:uid="{00000000-0002-0000-0000-00000D000000}"/>
    <dataValidation allowBlank="1" showInputMessage="1" showErrorMessage="1" prompt="Enter year in the cell below" sqref="AH3" xr:uid="{B7A3B089-8E8A-4E9D-87DF-466E1E72A929}"/>
    <dataValidation type="list" allowBlank="1" showInputMessage="1" showErrorMessage="1" sqref="B7:B12" xr:uid="{00000000-0002-0000-0000-00000F000000}">
      <formula1>#REF!</formula1>
    </dataValidation>
  </dataValidations>
  <printOptions horizontalCentered="1"/>
  <pageMargins left="0.25" right="0.25" top="0.75" bottom="0.75" header="0.3" footer="0.3"/>
  <pageSetup scale="7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x14:cfvo type="num">
                <xm:f>0</xm:f>
              </x14:cfvo>
              <x14:cfvo type="num">
                <xm:f>31</xm:f>
              </x14:cfvo>
              <x14:negativeFillColor rgb="FFFF0000"/>
              <x14:axisColor rgb="FF000000"/>
            </x14:dataBar>
          </x14:cfRule>
          <xm:sqref>AH7:AH12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749992370372631"/>
    <pageSetUpPr fitToPage="1"/>
  </sheetPr>
  <dimension ref="A1:AH12"/>
  <sheetViews>
    <sheetView showGridLines="0" topLeftCell="E1" zoomScaleNormal="100" workbookViewId="0">
      <selection activeCell="AH6" sqref="AH6"/>
    </sheetView>
  </sheetViews>
  <sheetFormatPr baseColWidth="10" defaultColWidth="9.1093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9.1093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C3"/>
      <c r="D3"/>
      <c r="E3"/>
      <c r="F3"/>
      <c r="G3"/>
      <c r="H3"/>
      <c r="I3"/>
      <c r="J3"/>
      <c r="K3"/>
      <c r="L3"/>
      <c r="M3"/>
      <c r="N3"/>
      <c r="O3"/>
      <c r="P3"/>
      <c r="Q3"/>
      <c r="R3"/>
      <c r="S3"/>
      <c r="T3"/>
      <c r="U3"/>
      <c r="V3"/>
      <c r="W3"/>
      <c r="X3"/>
      <c r="Y3"/>
      <c r="Z3"/>
      <c r="AA3"/>
      <c r="AB3"/>
      <c r="AC3"/>
      <c r="AD3"/>
      <c r="AE3"/>
      <c r="AF3"/>
      <c r="AG3"/>
      <c r="AH3" s="1" t="s">
        <v>51</v>
      </c>
    </row>
    <row r="4" spans="1:34" s="16" customFormat="1" ht="30" customHeight="1" x14ac:dyDescent="0.3">
      <c r="B4" s="14" t="s">
        <v>35</v>
      </c>
      <c r="C4" s="25" t="s">
        <v>61</v>
      </c>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15">
        <f>CalendarYear</f>
        <v>2016</v>
      </c>
    </row>
    <row r="5" spans="1:34" ht="15" customHeight="1" x14ac:dyDescent="0.3">
      <c r="B5" s="3"/>
      <c r="C5" s="1" t="str">
        <f>TEXT(WEEKDAY(DATE(CalendarYear,2,1),1),"aaa")</f>
        <v>1900</v>
      </c>
      <c r="D5" s="1" t="str">
        <f>TEXT(WEEKDAY(DATE(CalendarYear,2,2),1),"aaa")</f>
        <v>1900</v>
      </c>
      <c r="E5" s="1" t="str">
        <f>TEXT(WEEKDAY(DATE(CalendarYear,2,3),1),"aaa")</f>
        <v>1900</v>
      </c>
      <c r="F5" s="1" t="str">
        <f>TEXT(WEEKDAY(DATE(CalendarYear,2,4),1),"aaa")</f>
        <v>1900</v>
      </c>
      <c r="G5" s="1" t="str">
        <f>TEXT(WEEKDAY(DATE(CalendarYear,2,5),1),"aaa")</f>
        <v>1900</v>
      </c>
      <c r="H5" s="1" t="str">
        <f>TEXT(WEEKDAY(DATE(CalendarYear,2,6),1),"aaa")</f>
        <v>1900</v>
      </c>
      <c r="I5" s="1" t="str">
        <f>TEXT(WEEKDAY(DATE(CalendarYear,2,7),1),"aaa")</f>
        <v>1900</v>
      </c>
      <c r="J5" s="1" t="str">
        <f>TEXT(WEEKDAY(DATE(CalendarYear,2,8),1),"aaa")</f>
        <v>1900</v>
      </c>
      <c r="K5" s="1" t="str">
        <f>TEXT(WEEKDAY(DATE(CalendarYear,2,9),1),"aaa")</f>
        <v>1900</v>
      </c>
      <c r="L5" s="1" t="str">
        <f>TEXT(WEEKDAY(DATE(CalendarYear,2,10),1),"aaa")</f>
        <v>1900</v>
      </c>
      <c r="M5" s="1" t="str">
        <f>TEXT(WEEKDAY(DATE(CalendarYear,2,11),1),"aaa")</f>
        <v>1900</v>
      </c>
      <c r="N5" s="1" t="str">
        <f>TEXT(WEEKDAY(DATE(CalendarYear,2,12),1),"aaa")</f>
        <v>1900</v>
      </c>
      <c r="O5" s="1" t="str">
        <f>TEXT(WEEKDAY(DATE(CalendarYear,2,13),1),"aaa")</f>
        <v>1900</v>
      </c>
      <c r="P5" s="1" t="str">
        <f>TEXT(WEEKDAY(DATE(CalendarYear,2,14),1),"aaa")</f>
        <v>1900</v>
      </c>
      <c r="Q5" s="1" t="str">
        <f>TEXT(WEEKDAY(DATE(CalendarYear,2,15),1),"aaa")</f>
        <v>1900</v>
      </c>
      <c r="R5" s="1" t="str">
        <f>TEXT(WEEKDAY(DATE(CalendarYear,2,16),1),"aaa")</f>
        <v>1900</v>
      </c>
      <c r="S5" s="1" t="str">
        <f>TEXT(WEEKDAY(DATE(CalendarYear,2,17),1),"aaa")</f>
        <v>1900</v>
      </c>
      <c r="T5" s="1" t="str">
        <f>TEXT(WEEKDAY(DATE(CalendarYear,2,18),1),"aaa")</f>
        <v>1900</v>
      </c>
      <c r="U5" s="1" t="str">
        <f>TEXT(WEEKDAY(DATE(CalendarYear,2,19),1),"aaa")</f>
        <v>1900</v>
      </c>
      <c r="V5" s="1" t="str">
        <f>TEXT(WEEKDAY(DATE(CalendarYear,2,20),1),"aaa")</f>
        <v>1900</v>
      </c>
      <c r="W5" s="1" t="str">
        <f>TEXT(WEEKDAY(DATE(CalendarYear,2,21),1),"aaa")</f>
        <v>1900</v>
      </c>
      <c r="X5" s="1" t="str">
        <f>TEXT(WEEKDAY(DATE(CalendarYear,2,22),1),"aaa")</f>
        <v>1900</v>
      </c>
      <c r="Y5" s="1" t="str">
        <f>TEXT(WEEKDAY(DATE(CalendarYear,2,23),1),"aaa")</f>
        <v>1900</v>
      </c>
      <c r="Z5" s="1" t="str">
        <f>TEXT(WEEKDAY(DATE(CalendarYear,2,24),1),"aaa")</f>
        <v>1900</v>
      </c>
      <c r="AA5" s="1" t="str">
        <f>TEXT(WEEKDAY(DATE(CalendarYear,2,25),1),"aaa")</f>
        <v>1900</v>
      </c>
      <c r="AB5" s="1" t="str">
        <f>TEXT(WEEKDAY(DATE(CalendarYear,2,26),1),"aaa")</f>
        <v>1900</v>
      </c>
      <c r="AC5" s="1" t="str">
        <f>TEXT(WEEKDAY(DATE(CalendarYear,2,27),1),"aaa")</f>
        <v>1900</v>
      </c>
      <c r="AD5" s="1" t="str">
        <f>TEXT(WEEKDAY(DATE(CalendarYear,2,28),1),"aaa")</f>
        <v>1900</v>
      </c>
      <c r="AE5" s="1" t="str">
        <f>TEXT(WEEKDAY(DATE(CalendarYear,2,29),1),"aaa")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32</v>
      </c>
      <c r="AG6" s="1" t="s">
        <v>33</v>
      </c>
      <c r="AH6" s="2" t="s">
        <v>31</v>
      </c>
    </row>
    <row r="7" spans="1:34" ht="30" customHeight="1" x14ac:dyDescent="0.3">
      <c r="B7" s="10"/>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row>
    <row r="8" spans="1:34" ht="30" customHeight="1" x14ac:dyDescent="0.3">
      <c r="B8" s="10"/>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row>
    <row r="9" spans="1:34" ht="30" customHeight="1" x14ac:dyDescent="0.3">
      <c r="B9" s="10"/>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spans="1:34" ht="30" customHeight="1" x14ac:dyDescent="0.3">
      <c r="B10" s="10"/>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row>
    <row r="11" spans="1:34" ht="30" customHeight="1" x14ac:dyDescent="0.3">
      <c r="B11" s="5"/>
      <c r="AH11" s="6"/>
    </row>
    <row r="12" spans="1:34" ht="30" customHeight="1" x14ac:dyDescent="0.3">
      <c r="B12" s="10"/>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sheetData>
  <conditionalFormatting sqref="AE6">
    <cfRule type="expression" dxfId="461" priority="16">
      <formula>MONTH(DATE(CalendarYear,2,29))&lt;&gt;2</formula>
    </cfRule>
  </conditionalFormatting>
  <conditionalFormatting sqref="AE5">
    <cfRule type="expression" dxfId="460" priority="15">
      <formula>MONTH(DATE(CalendarYear,2,29))&lt;&gt;2</formula>
    </cfRule>
  </conditionalFormatting>
  <conditionalFormatting sqref="C7:AG12">
    <cfRule type="expression" priority="2" stopIfTrue="1">
      <formula>C7=""</formula>
    </cfRule>
    <cfRule type="expression" dxfId="459" priority="3" stopIfTrue="1">
      <formula>C7=KeyCustom2</formula>
    </cfRule>
  </conditionalFormatting>
  <conditionalFormatting sqref="C7:AG12">
    <cfRule type="expression" dxfId="458" priority="5" stopIfTrue="1">
      <formula>C7=KeyCustom1</formula>
    </cfRule>
    <cfRule type="expression" dxfId="457" priority="6" stopIfTrue="1">
      <formula>C7=KeySick</formula>
    </cfRule>
    <cfRule type="expression" dxfId="456" priority="7" stopIfTrue="1">
      <formula>C7=KeyPersonal</formula>
    </cfRule>
    <cfRule type="expression" dxfId="455" priority="8" stopIfTrue="1">
      <formula>C7=KeyVacation</formula>
    </cfRule>
  </conditionalFormatting>
  <conditionalFormatting sqref="AH7:AH12">
    <cfRule type="dataBar" priority="196">
      <dataBar>
        <cfvo type="min"/>
        <cfvo type="formula" val="DATEDIF(DATE(CalendarYear,2,1),DATE(CalendarYear,3,1),&quot;d&quot;)"/>
        <color theme="2" tint="-0.249977111117893"/>
      </dataBar>
      <extLst>
        <ext xmlns:x14="http://schemas.microsoft.com/office/spreadsheetml/2009/9/main" uri="{B025F937-C7B1-47D3-B67F-A62EFF666E3E}">
          <x14:id>{94738C71-AB78-40C3-A818-D083AE35CC38}</x14:id>
        </ext>
      </extLst>
    </cfRule>
  </conditionalFormatting>
  <dataValidations xWindow="232" yWindow="365" count="9">
    <dataValidation allowBlank="1" showInputMessage="1" showErrorMessage="1" prompt="Automatically updated year based on year entered in January worksheet" sqref="AH4" xr:uid="{7B2881B5-89BF-483F-914B-122F534C26D9}"/>
    <dataValidation allowBlank="1" showInputMessage="1" showErrorMessage="1" prompt="Track February absence in this worksheet" sqref="A1:A2" xr:uid="{00000000-0002-0000-0100-000001000000}"/>
    <dataValidation allowBlank="1" showInputMessage="1" showErrorMessage="1" prompt="Automatically calculates total number of days an employee was absent this month in this column" sqref="AH6" xr:uid="{00000000-0002-0000-0100-000002000000}"/>
    <dataValidation allowBlank="1" showInputMessage="1" showErrorMessage="1" prompt="Automatically updated title is in this cell. To modify the title, update B1 on January worksheet" sqref="B1:B2" xr:uid="{00000000-0002-0000-0100-000003000000}"/>
    <dataValidation allowBlank="1" showInputMessage="1" showErrorMessage="1" prompt="Month name for this absence schedule is in this cell. Absence totals for this month are in last cell of the table. Select employee names in table column B" sqref="B4" xr:uid="{32313505-D4A9-45E7-8D1F-BEA3D4978F59}"/>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100-000005000000}"/>
    <dataValidation allowBlank="1" showInputMessage="1" showErrorMessage="1" prompt="Weekdays in this row are automatically updated for the month according to the year in AH4. Each day of the month is a column to note an employee's absence and absence type" sqref="C5" xr:uid="{7CC6008C-E105-4ED9-856E-772021EC2032}"/>
    <dataValidation allowBlank="1" showInputMessage="1" showErrorMessage="1" prompt="Days of the month in this row are automatically generated. Enter an employee's absence and absence type in each column for each day of the month. Blank means no absence" sqref="C6" xr:uid="{00000000-0002-0000-0100-00000D000000}"/>
    <dataValidation type="list" allowBlank="1" showInputMessage="1" showErrorMessage="1" sqref="B7:B12" xr:uid="{00000000-0002-0000-0100-00000E000000}">
      <formula1>#REF!</formula1>
    </dataValidation>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499984740745262"/>
    <pageSetUpPr fitToPage="1"/>
  </sheetPr>
  <dimension ref="A1:AH12"/>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36</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TEXT(WEEKDAY(DATE(CalendarYear,3,1),1),"aaa")</f>
        <v>1900</v>
      </c>
      <c r="D5" s="1" t="str">
        <f>TEXT(WEEKDAY(DATE(CalendarYear,3,2),1),"aaa")</f>
        <v>1900</v>
      </c>
      <c r="E5" s="1" t="str">
        <f>TEXT(WEEKDAY(DATE(CalendarYear,3,3),1),"aaa")</f>
        <v>1900</v>
      </c>
      <c r="F5" s="1" t="str">
        <f>TEXT(WEEKDAY(DATE(CalendarYear,3,4),1),"aaa")</f>
        <v>1900</v>
      </c>
      <c r="G5" s="1" t="str">
        <f>TEXT(WEEKDAY(DATE(CalendarYear,3,5),1),"aaa")</f>
        <v>1900</v>
      </c>
      <c r="H5" s="1" t="str">
        <f>TEXT(WEEKDAY(DATE(CalendarYear,3,6),1),"aaa")</f>
        <v>1900</v>
      </c>
      <c r="I5" s="1" t="str">
        <f>TEXT(WEEKDAY(DATE(CalendarYear,3,7),1),"aaa")</f>
        <v>1900</v>
      </c>
      <c r="J5" s="1" t="str">
        <f>TEXT(WEEKDAY(DATE(CalendarYear,3,8),1),"aaa")</f>
        <v>1900</v>
      </c>
      <c r="K5" s="1" t="str">
        <f>TEXT(WEEKDAY(DATE(CalendarYear,3,9),1),"aaa")</f>
        <v>1900</v>
      </c>
      <c r="L5" s="1" t="str">
        <f>TEXT(WEEKDAY(DATE(CalendarYear,3,10),1),"aaa")</f>
        <v>1900</v>
      </c>
      <c r="M5" s="1" t="str">
        <f>TEXT(WEEKDAY(DATE(CalendarYear,3,11),1),"aaa")</f>
        <v>1900</v>
      </c>
      <c r="N5" s="1" t="str">
        <f>TEXT(WEEKDAY(DATE(CalendarYear,3,12),1),"aaa")</f>
        <v>1900</v>
      </c>
      <c r="O5" s="1" t="str">
        <f>TEXT(WEEKDAY(DATE(CalendarYear,3,13),1),"aaa")</f>
        <v>1900</v>
      </c>
      <c r="P5" s="1" t="str">
        <f>TEXT(WEEKDAY(DATE(CalendarYear,3,14),1),"aaa")</f>
        <v>1900</v>
      </c>
      <c r="Q5" s="1" t="str">
        <f>TEXT(WEEKDAY(DATE(CalendarYear,3,15),1),"aaa")</f>
        <v>1900</v>
      </c>
      <c r="R5" s="1" t="str">
        <f>TEXT(WEEKDAY(DATE(CalendarYear,3,16),1),"aaa")</f>
        <v>1900</v>
      </c>
      <c r="S5" s="1" t="str">
        <f>TEXT(WEEKDAY(DATE(CalendarYear,3,17),1),"aaa")</f>
        <v>1900</v>
      </c>
      <c r="T5" s="1" t="str">
        <f>TEXT(WEEKDAY(DATE(CalendarYear,3,18),1),"aaa")</f>
        <v>1900</v>
      </c>
      <c r="U5" s="1" t="str">
        <f>TEXT(WEEKDAY(DATE(CalendarYear,3,19),1),"aaa")</f>
        <v>1900</v>
      </c>
      <c r="V5" s="1" t="str">
        <f>TEXT(WEEKDAY(DATE(CalendarYear,3,20),1),"aaa")</f>
        <v>1900</v>
      </c>
      <c r="W5" s="1" t="str">
        <f>TEXT(WEEKDAY(DATE(CalendarYear,3,21),1),"aaa")</f>
        <v>1900</v>
      </c>
      <c r="X5" s="1" t="str">
        <f>TEXT(WEEKDAY(DATE(CalendarYear,3,22),1),"aaa")</f>
        <v>1900</v>
      </c>
      <c r="Y5" s="1" t="str">
        <f>TEXT(WEEKDAY(DATE(CalendarYear,3,23),1),"aaa")</f>
        <v>1900</v>
      </c>
      <c r="Z5" s="1" t="str">
        <f>TEXT(WEEKDAY(DATE(CalendarYear,3,24),1),"aaa")</f>
        <v>1900</v>
      </c>
      <c r="AA5" s="1" t="str">
        <f>TEXT(WEEKDAY(DATE(CalendarYear,3,25),1),"aaa")</f>
        <v>1900</v>
      </c>
      <c r="AB5" s="1" t="str">
        <f>TEXT(WEEKDAY(DATE(CalendarYear,3,26),1),"aaa")</f>
        <v>1900</v>
      </c>
      <c r="AC5" s="1" t="str">
        <f>TEXT(WEEKDAY(DATE(CalendarYear,3,27),1),"aaa")</f>
        <v>1900</v>
      </c>
      <c r="AD5" s="1" t="str">
        <f>TEXT(WEEKDAY(DATE(CalendarYear,3,28),1),"aaa")</f>
        <v>1900</v>
      </c>
      <c r="AE5" s="1" t="str">
        <f>TEXT(WEEKDAY(DATE(CalendarYear,3,29),1),"aaa")</f>
        <v>1900</v>
      </c>
      <c r="AF5" s="1" t="str">
        <f>TEXT(WEEKDAY(DATE(CalendarYear,3,30),1),"aaa")</f>
        <v>1900</v>
      </c>
      <c r="AG5" s="1" t="str">
        <f>TEXT(WEEKDAY(DATE(CalendarYear,3,31),1),"aaa")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5"/>
      <c r="AH9" s="6"/>
    </row>
    <row r="10" spans="1:34" ht="30" customHeight="1" x14ac:dyDescent="0.3">
      <c r="B10" s="5"/>
      <c r="AH10" s="6"/>
    </row>
    <row r="11" spans="1:34" ht="30" customHeight="1" x14ac:dyDescent="0.3">
      <c r="B11" s="5"/>
      <c r="AH11" s="6"/>
    </row>
    <row r="12" spans="1:34" ht="30" customHeight="1" x14ac:dyDescent="0.3">
      <c r="B12" s="7"/>
      <c r="AG12" s="8"/>
      <c r="AH12" s="8"/>
    </row>
  </sheetData>
  <conditionalFormatting sqref="C7:AG12">
    <cfRule type="expression" priority="1" stopIfTrue="1">
      <formula>C7=""</formula>
    </cfRule>
  </conditionalFormatting>
  <conditionalFormatting sqref="C7:AG12">
    <cfRule type="expression" dxfId="419" priority="2" stopIfTrue="1">
      <formula>C7=KeyCustom2</formula>
    </cfRule>
    <cfRule type="expression" dxfId="418" priority="3" stopIfTrue="1">
      <formula>C7=KeyCustom1</formula>
    </cfRule>
    <cfRule type="expression" dxfId="417" priority="4" stopIfTrue="1">
      <formula>C7=KeySick</formula>
    </cfRule>
    <cfRule type="expression" dxfId="416" priority="5" stopIfTrue="1">
      <formula>C7=KeyPersonal</formula>
    </cfRule>
    <cfRule type="expression" dxfId="415" priority="6" stopIfTrue="1">
      <formula>C7=KeyVacation</formula>
    </cfRule>
  </conditionalFormatting>
  <conditionalFormatting sqref="AH7:AH12">
    <cfRule type="dataBar" priority="7">
      <dataBar>
        <cfvo type="min"/>
        <cfvo type="formula" val="DATEDIF(DATE(CalendarYear,2,1),DATE(CalendarYear,3,1),&quot;d&quot;)"/>
        <color theme="2" tint="-0.249977111117893"/>
      </dataBar>
      <extLst>
        <ext xmlns:x14="http://schemas.microsoft.com/office/spreadsheetml/2009/9/main" uri="{B025F937-C7B1-47D3-B67F-A62EFF666E3E}">
          <x14:id>{7C2B6C3E-666E-4369-8C57-FD32A7D03A3C}</x14:id>
        </ext>
      </extLst>
    </cfRule>
  </conditionalFormatting>
  <dataValidations count="9">
    <dataValidation allowBlank="1" showInputMessage="1" showErrorMessage="1" prompt="Days of the month in this row are automatically generated. Enter an employee's absence and absence type in each column for each day of the month. Blank means no absence" sqref="C6" xr:uid="{00000000-0002-0000-0200-000000000000}"/>
    <dataValidation allowBlank="1" showInputMessage="1" showErrorMessage="1" prompt="Weekdays in this row are automatically updated for the month according to the year in AH4. Each day of the month is a column to note an employee's absence and absence type" sqref="C5" xr:uid="{749A3C74-2661-4A2D-BAF8-B9B0539919A6}"/>
    <dataValidation allowBlank="1" showInputMessage="1" showErrorMessage="1" prompt="Month name for this absence schedule is in this cell. Absence totals for this month are in last cell of the table. Select employee names in table column B" sqref="B4" xr:uid="{E318E5F2-9A55-4909-B810-C9099666DDE9}"/>
    <dataValidation allowBlank="1" showInputMessage="1" showErrorMessage="1" prompt="Automatically updated title is in this cell. To modify the title, update B1 on January worksheet" sqref="B1:B2" xr:uid="{00000000-0002-0000-0200-000009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200-00000A000000}"/>
    <dataValidation allowBlank="1" showInputMessage="1" showErrorMessage="1" prompt="Track March absence in this worksheet" sqref="A1:A2" xr:uid="{00000000-0002-0000-0200-00000B000000}"/>
    <dataValidation allowBlank="1" showInputMessage="1" showErrorMessage="1" prompt="Automatically calculates total number of days an employee was absent this month in this column" sqref="AH6" xr:uid="{00000000-0002-0000-0200-00000C000000}"/>
    <dataValidation allowBlank="1" showInputMessage="1" showErrorMessage="1" prompt="Automatically updated year based on year entered in January worksheet" sqref="AH4" xr:uid="{492A2B53-502A-4CC5-8B4C-4BDC1C243240}"/>
    <dataValidation type="list" allowBlank="1" showInputMessage="1" showErrorMessage="1" sqref="B7:B12" xr:uid="{00000000-0002-0000-02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2B6C3E-666E-4369-8C57-FD32A7D03A3C}">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249977111117893"/>
    <pageSetUpPr fitToPage="1"/>
  </sheetPr>
  <dimension ref="A1:AH12"/>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37</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TEXT(WEEKDAY(DATE(CalendarYear,4,1),1),"aaa")</f>
        <v>1900</v>
      </c>
      <c r="D5" s="1" t="str">
        <f>TEXT(WEEKDAY(DATE(CalendarYear,4,2),1),"aaa")</f>
        <v>1900</v>
      </c>
      <c r="E5" s="1" t="str">
        <f>TEXT(WEEKDAY(DATE(CalendarYear,4,3),1),"aaa")</f>
        <v>1900</v>
      </c>
      <c r="F5" s="1" t="str">
        <f>TEXT(WEEKDAY(DATE(CalendarYear,4,4),1),"aaa")</f>
        <v>1900</v>
      </c>
      <c r="G5" s="1" t="str">
        <f>TEXT(WEEKDAY(DATE(CalendarYear,4,5),1),"aaa")</f>
        <v>1900</v>
      </c>
      <c r="H5" s="1" t="str">
        <f>TEXT(WEEKDAY(DATE(CalendarYear,4,6),1),"aaa")</f>
        <v>1900</v>
      </c>
      <c r="I5" s="1" t="str">
        <f>TEXT(WEEKDAY(DATE(CalendarYear,4,7),1),"aaa")</f>
        <v>1900</v>
      </c>
      <c r="J5" s="1" t="str">
        <f>TEXT(WEEKDAY(DATE(CalendarYear,4,8),1),"aaa")</f>
        <v>1900</v>
      </c>
      <c r="K5" s="1" t="str">
        <f>TEXT(WEEKDAY(DATE(CalendarYear,4,9),1),"aaa")</f>
        <v>1900</v>
      </c>
      <c r="L5" s="1" t="str">
        <f>TEXT(WEEKDAY(DATE(CalendarYear,4,10),1),"aaa")</f>
        <v>1900</v>
      </c>
      <c r="M5" s="1" t="str">
        <f>TEXT(WEEKDAY(DATE(CalendarYear,4,11),1),"aaa")</f>
        <v>1900</v>
      </c>
      <c r="N5" s="1" t="str">
        <f>TEXT(WEEKDAY(DATE(CalendarYear,4,12),1),"aaa")</f>
        <v>1900</v>
      </c>
      <c r="O5" s="1" t="str">
        <f>TEXT(WEEKDAY(DATE(CalendarYear,4,13),1),"aaa")</f>
        <v>1900</v>
      </c>
      <c r="P5" s="1" t="str">
        <f>TEXT(WEEKDAY(DATE(CalendarYear,4,14),1),"aaa")</f>
        <v>1900</v>
      </c>
      <c r="Q5" s="1" t="str">
        <f>TEXT(WEEKDAY(DATE(CalendarYear,4,15),1),"aaa")</f>
        <v>1900</v>
      </c>
      <c r="R5" s="1" t="str">
        <f>TEXT(WEEKDAY(DATE(CalendarYear,4,16),1),"aaa")</f>
        <v>1900</v>
      </c>
      <c r="S5" s="1" t="str">
        <f>TEXT(WEEKDAY(DATE(CalendarYear,4,17),1),"aaa")</f>
        <v>1900</v>
      </c>
      <c r="T5" s="1" t="str">
        <f>TEXT(WEEKDAY(DATE(CalendarYear,4,18),1),"aaa")</f>
        <v>1900</v>
      </c>
      <c r="U5" s="1" t="str">
        <f>TEXT(WEEKDAY(DATE(CalendarYear,4,19),1),"aaa")</f>
        <v>1900</v>
      </c>
      <c r="V5" s="1" t="str">
        <f>TEXT(WEEKDAY(DATE(CalendarYear,4,20),1),"aaa")</f>
        <v>1900</v>
      </c>
      <c r="W5" s="1" t="str">
        <f>TEXT(WEEKDAY(DATE(CalendarYear,4,21),1),"aaa")</f>
        <v>1900</v>
      </c>
      <c r="X5" s="1" t="str">
        <f>TEXT(WEEKDAY(DATE(CalendarYear,4,22),1),"aaa")</f>
        <v>1900</v>
      </c>
      <c r="Y5" s="1" t="str">
        <f>TEXT(WEEKDAY(DATE(CalendarYear,4,23),1),"aaa")</f>
        <v>1900</v>
      </c>
      <c r="Z5" s="1" t="str">
        <f>TEXT(WEEKDAY(DATE(CalendarYear,4,24),1),"aaa")</f>
        <v>1900</v>
      </c>
      <c r="AA5" s="1" t="str">
        <f>TEXT(WEEKDAY(DATE(CalendarYear,4,25),1),"aaa")</f>
        <v>1900</v>
      </c>
      <c r="AB5" s="1" t="str">
        <f>TEXT(WEEKDAY(DATE(CalendarYear,4,26),1),"aaa")</f>
        <v>1900</v>
      </c>
      <c r="AC5" s="1" t="str">
        <f>TEXT(WEEKDAY(DATE(CalendarYear,4,27),1),"aaa")</f>
        <v>1900</v>
      </c>
      <c r="AD5" s="1" t="str">
        <f>TEXT(WEEKDAY(DATE(CalendarYear,4,28),1),"aaa")</f>
        <v>1900</v>
      </c>
      <c r="AE5" s="1" t="str">
        <f>TEXT(WEEKDAY(DATE(CalendarYear,4,29),1),"aaa")</f>
        <v>1900</v>
      </c>
      <c r="AF5" s="1" t="str">
        <f>TEXT(WEEKDAY(DATE(CalendarYear,4,30),1),"aaa")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7"/>
      <c r="AG7" s="8"/>
      <c r="AH7" s="8"/>
    </row>
    <row r="8" spans="1:34" ht="30" customHeight="1" x14ac:dyDescent="0.3">
      <c r="B8" s="7"/>
      <c r="AG8" s="8"/>
      <c r="AH8" s="8"/>
    </row>
    <row r="9" spans="1:34" ht="30" customHeight="1" x14ac:dyDescent="0.3">
      <c r="B9" s="7"/>
      <c r="AG9" s="8"/>
      <c r="AH9" s="8"/>
    </row>
    <row r="10" spans="1:34" ht="30" customHeight="1" x14ac:dyDescent="0.3">
      <c r="B10" s="7"/>
      <c r="AG10" s="8"/>
      <c r="AH10" s="8"/>
    </row>
    <row r="11" spans="1:34" ht="30" customHeight="1" x14ac:dyDescent="0.3">
      <c r="B11" s="5"/>
      <c r="AH11" s="6"/>
    </row>
    <row r="12" spans="1:34" ht="30" customHeight="1" x14ac:dyDescent="0.3">
      <c r="B12" s="7"/>
      <c r="AG12" s="8"/>
      <c r="AH12" s="8"/>
    </row>
  </sheetData>
  <conditionalFormatting sqref="C7:AG12">
    <cfRule type="expression" priority="1" stopIfTrue="1">
      <formula>C7=""</formula>
    </cfRule>
  </conditionalFormatting>
  <conditionalFormatting sqref="C7:AG12">
    <cfRule type="expression" dxfId="377" priority="2" stopIfTrue="1">
      <formula>C7=KeyCustom2</formula>
    </cfRule>
    <cfRule type="expression" dxfId="376" priority="3" stopIfTrue="1">
      <formula>C7=KeyCustom1</formula>
    </cfRule>
    <cfRule type="expression" dxfId="375" priority="4" stopIfTrue="1">
      <formula>C7=KeySick</formula>
    </cfRule>
    <cfRule type="expression" dxfId="374" priority="5" stopIfTrue="1">
      <formula>C7=KeyPersonal</formula>
    </cfRule>
    <cfRule type="expression" dxfId="373" priority="6" stopIfTrue="1">
      <formula>C7=KeyVacation</formula>
    </cfRule>
  </conditionalFormatting>
  <conditionalFormatting sqref="AH7:AH12">
    <cfRule type="dataBar" priority="224">
      <dataBar>
        <cfvo type="min"/>
        <cfvo type="formula" val="DATEDIF(DATE(CalendarYear,2,1),DATE(CalendarYear,3,1),&quot;d&quot;)"/>
        <color theme="2" tint="-0.249977111117893"/>
      </dataBar>
      <extLst>
        <ext xmlns:x14="http://schemas.microsoft.com/office/spreadsheetml/2009/9/main" uri="{B025F937-C7B1-47D3-B67F-A62EFF666E3E}">
          <x14:id>{0C86709F-D813-4066-A3F1-C30F11214F4B}</x14:id>
        </ext>
      </extLst>
    </cfRule>
  </conditionalFormatting>
  <dataValidations count="9">
    <dataValidation allowBlank="1" showInputMessage="1" showErrorMessage="1" prompt="Automatically updated year based on year entered in January worksheet" sqref="AH4" xr:uid="{FC60470F-0214-4F49-B852-D8BF56AB65B7}"/>
    <dataValidation allowBlank="1" showInputMessage="1" showErrorMessage="1" prompt="Automatically calculates total number of days an employee was absent this month in this column" sqref="AH6" xr:uid="{00000000-0002-0000-0300-000001000000}"/>
    <dataValidation allowBlank="1" showInputMessage="1" showErrorMessage="1" prompt="Track April absence in this worksheet" sqref="A1:A2" xr:uid="{00000000-0002-0000-03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300-000003000000}"/>
    <dataValidation allowBlank="1" showInputMessage="1" showErrorMessage="1" prompt="Automatically updated title is in this cell. To modify the title, update B1 on January worksheet" sqref="B1:B2" xr:uid="{00000000-0002-0000-0300-000004000000}"/>
    <dataValidation allowBlank="1" showInputMessage="1" showErrorMessage="1" prompt="Month name for this absence schedule is in this cell. Absence totals for this month are in last cell of the table. Select employee names in table column B" sqref="B4" xr:uid="{38E3C820-DE6A-498A-A246-B5BD6E13DD9D}"/>
    <dataValidation allowBlank="1" showInputMessage="1" showErrorMessage="1" prompt="Days of the month in this row are automatically generated. Enter an employee's absence and absence type in each column for each day of the month. Blank means no absence" sqref="C6" xr:uid="{00000000-0002-0000-0300-00000C000000}"/>
    <dataValidation allowBlank="1" showInputMessage="1" showErrorMessage="1" prompt="Weekdays in this row are automatically updated for the month according to the year in AH4. Each day of the month is a column to note an employee's absence and absence type" sqref="C5" xr:uid="{38237403-14EC-47E2-BCEE-AFBDE75AA130}"/>
    <dataValidation type="list" allowBlank="1" showInputMessage="1" showErrorMessage="1" sqref="B7:B12" xr:uid="{00000000-0002-0000-03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86709F-D813-4066-A3F1-C30F11214F4B}">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pageSetUpPr fitToPage="1"/>
  </sheetPr>
  <dimension ref="A1:AH12"/>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38</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TEXT(WEEKDAY(DATE(CalendarYear,5,1),1),"aaa")</f>
        <v>1900</v>
      </c>
      <c r="D5" s="1" t="str">
        <f>TEXT(WEEKDAY(DATE(CalendarYear,5,2),1),"aaa")</f>
        <v>1900</v>
      </c>
      <c r="E5" s="1" t="str">
        <f>TEXT(WEEKDAY(DATE(CalendarYear,5,3),1),"aaa")</f>
        <v>1900</v>
      </c>
      <c r="F5" s="1" t="str">
        <f>TEXT(WEEKDAY(DATE(CalendarYear,5,4),1),"aaa")</f>
        <v>1900</v>
      </c>
      <c r="G5" s="1" t="str">
        <f>TEXT(WEEKDAY(DATE(CalendarYear,5,5),1),"aaa")</f>
        <v>1900</v>
      </c>
      <c r="H5" s="1" t="str">
        <f>TEXT(WEEKDAY(DATE(CalendarYear,5,6),1),"aaa")</f>
        <v>1900</v>
      </c>
      <c r="I5" s="1" t="str">
        <f>TEXT(WEEKDAY(DATE(CalendarYear,5,7),1),"aaa")</f>
        <v>1900</v>
      </c>
      <c r="J5" s="1" t="str">
        <f>TEXT(WEEKDAY(DATE(CalendarYear,5,8),1),"aaa")</f>
        <v>1900</v>
      </c>
      <c r="K5" s="1" t="str">
        <f>TEXT(WEEKDAY(DATE(CalendarYear,5,9),1),"aaa")</f>
        <v>1900</v>
      </c>
      <c r="L5" s="1" t="str">
        <f>TEXT(WEEKDAY(DATE(CalendarYear,5,10),1),"aaa")</f>
        <v>1900</v>
      </c>
      <c r="M5" s="1" t="str">
        <f>TEXT(WEEKDAY(DATE(CalendarYear,5,11),1),"aaa")</f>
        <v>1900</v>
      </c>
      <c r="N5" s="1" t="str">
        <f>TEXT(WEEKDAY(DATE(CalendarYear,5,12),1),"aaa")</f>
        <v>1900</v>
      </c>
      <c r="O5" s="1" t="str">
        <f>TEXT(WEEKDAY(DATE(CalendarYear,5,13),1),"aaa")</f>
        <v>1900</v>
      </c>
      <c r="P5" s="1" t="str">
        <f>TEXT(WEEKDAY(DATE(CalendarYear,5,14),1),"aaa")</f>
        <v>1900</v>
      </c>
      <c r="Q5" s="1" t="str">
        <f>TEXT(WEEKDAY(DATE(CalendarYear,5,15),1),"aaa")</f>
        <v>1900</v>
      </c>
      <c r="R5" s="1" t="str">
        <f>TEXT(WEEKDAY(DATE(CalendarYear,5,16),1),"aaa")</f>
        <v>1900</v>
      </c>
      <c r="S5" s="1" t="str">
        <f>TEXT(WEEKDAY(DATE(CalendarYear,5,17),1),"aaa")</f>
        <v>1900</v>
      </c>
      <c r="T5" s="1" t="str">
        <f>TEXT(WEEKDAY(DATE(CalendarYear,5,18),1),"aaa")</f>
        <v>1900</v>
      </c>
      <c r="U5" s="1" t="str">
        <f>TEXT(WEEKDAY(DATE(CalendarYear,5,19),1),"aaa")</f>
        <v>1900</v>
      </c>
      <c r="V5" s="1" t="str">
        <f>TEXT(WEEKDAY(DATE(CalendarYear,5,20),1),"aaa")</f>
        <v>1900</v>
      </c>
      <c r="W5" s="1" t="str">
        <f>TEXT(WEEKDAY(DATE(CalendarYear,5,21),1),"aaa")</f>
        <v>1900</v>
      </c>
      <c r="X5" s="1" t="str">
        <f>TEXT(WEEKDAY(DATE(CalendarYear,5,22),1),"aaa")</f>
        <v>1900</v>
      </c>
      <c r="Y5" s="1" t="str">
        <f>TEXT(WEEKDAY(DATE(CalendarYear,5,23),1),"aaa")</f>
        <v>1900</v>
      </c>
      <c r="Z5" s="1" t="str">
        <f>TEXT(WEEKDAY(DATE(CalendarYear,5,24),1),"aaa")</f>
        <v>1900</v>
      </c>
      <c r="AA5" s="1" t="str">
        <f>TEXT(WEEKDAY(DATE(CalendarYear,5,25),1),"aaa")</f>
        <v>1900</v>
      </c>
      <c r="AB5" s="1" t="str">
        <f>TEXT(WEEKDAY(DATE(CalendarYear,5,26),1),"aaa")</f>
        <v>1900</v>
      </c>
      <c r="AC5" s="1" t="str">
        <f>TEXT(WEEKDAY(DATE(CalendarYear,5,27),1),"aaa")</f>
        <v>1900</v>
      </c>
      <c r="AD5" s="1" t="str">
        <f>TEXT(WEEKDAY(DATE(CalendarYear,5,28),1),"aaa")</f>
        <v>1900</v>
      </c>
      <c r="AE5" s="1" t="str">
        <f>TEXT(WEEKDAY(DATE(CalendarYear,5,29),1),"aaa")</f>
        <v>1900</v>
      </c>
      <c r="AF5" s="1" t="str">
        <f>TEXT(WEEKDAY(DATE(CalendarYear,5,30),1),"aaa")</f>
        <v>1900</v>
      </c>
      <c r="AG5" s="1" t="str">
        <f>TEXT(WEEKDAY(DATE(CalendarYear,5,31),1),"aaa")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5"/>
      <c r="AH9" s="6"/>
    </row>
    <row r="10" spans="1:34" ht="30" customHeight="1" x14ac:dyDescent="0.3">
      <c r="B10" s="5"/>
      <c r="AH10" s="6"/>
    </row>
    <row r="11" spans="1:34" ht="30" customHeight="1" x14ac:dyDescent="0.3">
      <c r="B11" s="5"/>
      <c r="AH11" s="6"/>
    </row>
    <row r="12" spans="1:34" ht="30" customHeight="1" x14ac:dyDescent="0.3">
      <c r="B12" s="7"/>
      <c r="AG12" s="8"/>
      <c r="AH12" s="8"/>
    </row>
  </sheetData>
  <conditionalFormatting sqref="C7:AG12">
    <cfRule type="expression" priority="1" stopIfTrue="1">
      <formula>C7=""</formula>
    </cfRule>
  </conditionalFormatting>
  <conditionalFormatting sqref="C7:AG12">
    <cfRule type="expression" dxfId="335" priority="2" stopIfTrue="1">
      <formula>C7=KeyCustom2</formula>
    </cfRule>
    <cfRule type="expression" dxfId="334" priority="3" stopIfTrue="1">
      <formula>C7=KeyCustom1</formula>
    </cfRule>
    <cfRule type="expression" dxfId="333" priority="4" stopIfTrue="1">
      <formula>C7=KeySick</formula>
    </cfRule>
    <cfRule type="expression" dxfId="332" priority="5" stopIfTrue="1">
      <formula>C7=KeyPersonal</formula>
    </cfRule>
    <cfRule type="expression" dxfId="331" priority="6" stopIfTrue="1">
      <formula>C7=KeyVacation</formula>
    </cfRule>
  </conditionalFormatting>
  <conditionalFormatting sqref="AH7:AH12">
    <cfRule type="dataBar" priority="7">
      <dataBar>
        <cfvo type="min"/>
        <cfvo type="formula" val="DATEDIF(DATE(CalendarYear,2,1),DATE(CalendarYear,3,1),&quot;d&quot;)"/>
        <color theme="2" tint="-0.249977111117893"/>
      </dataBar>
      <extLst>
        <ext xmlns:x14="http://schemas.microsoft.com/office/spreadsheetml/2009/9/main" uri="{B025F937-C7B1-47D3-B67F-A62EFF666E3E}">
          <x14:id>{5670947F-8B3C-4A6C-A280-4F5E10811DCE}</x14:id>
        </ext>
      </extLst>
    </cfRule>
  </conditionalFormatting>
  <dataValidations count="9">
    <dataValidation allowBlank="1" showInputMessage="1" showErrorMessage="1" prompt="Days of the month in this row are automatically generated. Enter an employee's absence and absence type in each column for each day of the month. Blank means no absence" sqref="C6" xr:uid="{00000000-0002-0000-0400-000000000000}"/>
    <dataValidation allowBlank="1" showInputMessage="1" showErrorMessage="1" prompt="Month name for this absence schedule is in this cell. Absence totals for this month are in last cell of the table. Select employee names in table column B" sqref="B4" xr:uid="{2E127A3C-79D4-4952-A146-E75F2B18BA0A}"/>
    <dataValidation allowBlank="1" showInputMessage="1" showErrorMessage="1" prompt="Automatically updated title is in this cell. To modify the title, update B1 on January worksheet" sqref="B1:B2" xr:uid="{00000000-0002-0000-04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400-000009000000}"/>
    <dataValidation allowBlank="1" showInputMessage="1" showErrorMessage="1" prompt="Track May absence in this worksheet" sqref="A1:A2" xr:uid="{00000000-0002-0000-0400-00000A000000}"/>
    <dataValidation allowBlank="1" showInputMessage="1" showErrorMessage="1" prompt="Automatically calculates total number of days an employee was absent this month in this column" sqref="AH6" xr:uid="{00000000-0002-0000-0400-00000B000000}"/>
    <dataValidation allowBlank="1" showInputMessage="1" showErrorMessage="1" prompt="Automatically updated year based on year entered in January worksheet" sqref="AH4" xr:uid="{BC1E26C1-9611-42B5-ABEE-6CFEFC8F9CDC}"/>
    <dataValidation allowBlank="1" showInputMessage="1" showErrorMessage="1" prompt="Weekdays in this row are automatically updated for the month according to the year in AH4. Each day of the month is a column to note an employee's absence and absence type" sqref="C5" xr:uid="{A296E5BC-B52E-4D15-A953-2476937CAB3B}"/>
    <dataValidation type="list" allowBlank="1" showInputMessage="1" showErrorMessage="1" sqref="B7:B12" xr:uid="{00000000-0002-0000-04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70947F-8B3C-4A6C-A280-4F5E10811DCE}">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pageSetUpPr fitToPage="1"/>
  </sheetPr>
  <dimension ref="A1:AH12"/>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39</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TEXT(WEEKDAY(DATE(CalendarYear,6,1),1),"aaa")</f>
        <v>1900</v>
      </c>
      <c r="D5" s="1" t="str">
        <f>TEXT(WEEKDAY(DATE(CalendarYear,6,2),1),"aaa")</f>
        <v>1900</v>
      </c>
      <c r="E5" s="1" t="str">
        <f>TEXT(WEEKDAY(DATE(CalendarYear,6,3),1),"aaa")</f>
        <v>1900</v>
      </c>
      <c r="F5" s="1" t="str">
        <f>TEXT(WEEKDAY(DATE(CalendarYear,6,4),1),"aaa")</f>
        <v>1900</v>
      </c>
      <c r="G5" s="1" t="str">
        <f>TEXT(WEEKDAY(DATE(CalendarYear,6,5),1),"aaa")</f>
        <v>1900</v>
      </c>
      <c r="H5" s="1" t="str">
        <f>TEXT(WEEKDAY(DATE(CalendarYear,6,6),1),"aaa")</f>
        <v>1900</v>
      </c>
      <c r="I5" s="1" t="str">
        <f>TEXT(WEEKDAY(DATE(CalendarYear,6,7),1),"aaa")</f>
        <v>1900</v>
      </c>
      <c r="J5" s="1" t="str">
        <f>TEXT(WEEKDAY(DATE(CalendarYear,6,8),1),"aaa")</f>
        <v>1900</v>
      </c>
      <c r="K5" s="1" t="str">
        <f>TEXT(WEEKDAY(DATE(CalendarYear,6,9),1),"aaa")</f>
        <v>1900</v>
      </c>
      <c r="L5" s="1" t="str">
        <f>TEXT(WEEKDAY(DATE(CalendarYear,6,10),1),"aaa")</f>
        <v>1900</v>
      </c>
      <c r="M5" s="1" t="str">
        <f>TEXT(WEEKDAY(DATE(CalendarYear,6,11),1),"aaa")</f>
        <v>1900</v>
      </c>
      <c r="N5" s="1" t="str">
        <f>TEXT(WEEKDAY(DATE(CalendarYear,6,12),1),"aaa")</f>
        <v>1900</v>
      </c>
      <c r="O5" s="1" t="str">
        <f>TEXT(WEEKDAY(DATE(CalendarYear,6,13),1),"aaa")</f>
        <v>1900</v>
      </c>
      <c r="P5" s="1" t="str">
        <f>TEXT(WEEKDAY(DATE(CalendarYear,6,14),1),"aaa")</f>
        <v>1900</v>
      </c>
      <c r="Q5" s="1" t="str">
        <f>TEXT(WEEKDAY(DATE(CalendarYear,6,15),1),"aaa")</f>
        <v>1900</v>
      </c>
      <c r="R5" s="1" t="str">
        <f>TEXT(WEEKDAY(DATE(CalendarYear,6,16),1),"aaa")</f>
        <v>1900</v>
      </c>
      <c r="S5" s="1" t="str">
        <f>TEXT(WEEKDAY(DATE(CalendarYear,6,17),1),"aaa")</f>
        <v>1900</v>
      </c>
      <c r="T5" s="1" t="str">
        <f>TEXT(WEEKDAY(DATE(CalendarYear,6,18),1),"aaa")</f>
        <v>1900</v>
      </c>
      <c r="U5" s="1" t="str">
        <f>TEXT(WEEKDAY(DATE(CalendarYear,6,19),1),"aaa")</f>
        <v>1900</v>
      </c>
      <c r="V5" s="1" t="str">
        <f>TEXT(WEEKDAY(DATE(CalendarYear,6,20),1),"aaa")</f>
        <v>1900</v>
      </c>
      <c r="W5" s="1" t="str">
        <f>TEXT(WEEKDAY(DATE(CalendarYear,6,21),1),"aaa")</f>
        <v>1900</v>
      </c>
      <c r="X5" s="1" t="str">
        <f>TEXT(WEEKDAY(DATE(CalendarYear,6,22),1),"aaa")</f>
        <v>1900</v>
      </c>
      <c r="Y5" s="1" t="str">
        <f>TEXT(WEEKDAY(DATE(CalendarYear,6,23),1),"aaa")</f>
        <v>1900</v>
      </c>
      <c r="Z5" s="1" t="str">
        <f>TEXT(WEEKDAY(DATE(CalendarYear,6,24),1),"aaa")</f>
        <v>1900</v>
      </c>
      <c r="AA5" s="1" t="str">
        <f>TEXT(WEEKDAY(DATE(CalendarYear,6,25),1),"aaa")</f>
        <v>1900</v>
      </c>
      <c r="AB5" s="1" t="str">
        <f>TEXT(WEEKDAY(DATE(CalendarYear,6,26),1),"aaa")</f>
        <v>1900</v>
      </c>
      <c r="AC5" s="1" t="str">
        <f>TEXT(WEEKDAY(DATE(CalendarYear,6,27),1),"aaa")</f>
        <v>1900</v>
      </c>
      <c r="AD5" s="1" t="str">
        <f>TEXT(WEEKDAY(DATE(CalendarYear,6,28),1),"aaa")</f>
        <v>1900</v>
      </c>
      <c r="AE5" s="1" t="str">
        <f>TEXT(WEEKDAY(DATE(CalendarYear,6,29),1),"aaa")</f>
        <v>1900</v>
      </c>
      <c r="AF5" s="1" t="str">
        <f>TEXT(WEEKDAY(DATE(CalendarYear,6,30),1),"aaa")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5"/>
      <c r="AH9" s="6"/>
    </row>
    <row r="10" spans="1:34" ht="30" customHeight="1" x14ac:dyDescent="0.3">
      <c r="B10" s="5"/>
      <c r="AH10" s="6"/>
    </row>
    <row r="11" spans="1:34" ht="30" customHeight="1" x14ac:dyDescent="0.3">
      <c r="B11" s="5"/>
      <c r="AH11" s="6"/>
    </row>
    <row r="12" spans="1:34" ht="30" customHeight="1" x14ac:dyDescent="0.3">
      <c r="B12" s="7"/>
      <c r="AG12" s="8"/>
      <c r="AH12" s="8"/>
    </row>
  </sheetData>
  <conditionalFormatting sqref="C7:AG12">
    <cfRule type="expression" priority="1" stopIfTrue="1">
      <formula>C7=""</formula>
    </cfRule>
  </conditionalFormatting>
  <conditionalFormatting sqref="C7:AG12">
    <cfRule type="expression" dxfId="293" priority="2" stopIfTrue="1">
      <formula>C7=KeyCustom2</formula>
    </cfRule>
    <cfRule type="expression" dxfId="292" priority="3" stopIfTrue="1">
      <formula>C7=KeyCustom1</formula>
    </cfRule>
    <cfRule type="expression" dxfId="291" priority="4" stopIfTrue="1">
      <formula>C7=KeySick</formula>
    </cfRule>
    <cfRule type="expression" dxfId="290" priority="5" stopIfTrue="1">
      <formula>C7=KeyPersonal</formula>
    </cfRule>
    <cfRule type="expression" dxfId="289" priority="6" stopIfTrue="1">
      <formula>C7=KeyVacation</formula>
    </cfRule>
  </conditionalFormatting>
  <conditionalFormatting sqref="AH7:AH12">
    <cfRule type="dataBar" priority="7">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count="9">
    <dataValidation allowBlank="1" showInputMessage="1" showErrorMessage="1" prompt="Weekdays in this row are automatically updated for the month according to the year in AH4. Each day of the month is a column to note an employee's absence and absence type" sqref="C5" xr:uid="{8EA5A378-4CBB-411A-8B58-5BC13EB36B9D}"/>
    <dataValidation allowBlank="1" showInputMessage="1" showErrorMessage="1" prompt="Automatically updated year based on year entered in January worksheet" sqref="AH4" xr:uid="{2BC2ECAD-5D3B-40D8-A7FB-8263BB96DD7D}"/>
    <dataValidation allowBlank="1" showInputMessage="1" showErrorMessage="1" prompt="Automatically calculates total number of days an employee was absent this month in this column" sqref="AH6" xr:uid="{00000000-0002-0000-0500-000002000000}"/>
    <dataValidation allowBlank="1" showInputMessage="1" showErrorMessage="1" prompt="Track June absence in this worksheet" sqref="A1:A2" xr:uid="{00000000-0002-0000-05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500-000004000000}"/>
    <dataValidation allowBlank="1" showInputMessage="1" showErrorMessage="1" prompt="Automatically updated title is in this cell. To modify the title, update B1 on January worksheet" sqref="B1:B2" xr:uid="{00000000-0002-0000-0500-000005000000}"/>
    <dataValidation allowBlank="1" showInputMessage="1" showErrorMessage="1" prompt="Month name for this absence schedule is in this cell. Absence totals for this month are in last cell of the table. Select employee names in table column B" sqref="B4" xr:uid="{B912F112-3224-4935-90B3-E90C1A0DA338}"/>
    <dataValidation allowBlank="1" showInputMessage="1" showErrorMessage="1" prompt="Days of the month in this row are automatically generated. Enter an employee's absence and absence type in each column for each day of the month. Blank means no absence" sqref="C6" xr:uid="{00000000-0002-0000-0500-00000D000000}"/>
    <dataValidation type="list" allowBlank="1" showInputMessage="1" showErrorMessage="1" sqref="B7:B12" xr:uid="{00000000-0002-0000-05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A1:AH12"/>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39</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TEXT(WEEKDAY(DATE(CalendarYear,7,1),1),"aaa")</f>
        <v>1900</v>
      </c>
      <c r="D5" s="1" t="str">
        <f>TEXT(WEEKDAY(DATE(CalendarYear,7,2),1),"aaa")</f>
        <v>1900</v>
      </c>
      <c r="E5" s="1" t="str">
        <f>TEXT(WEEKDAY(DATE(CalendarYear,7,3),1),"aaa")</f>
        <v>1900</v>
      </c>
      <c r="F5" s="1" t="str">
        <f>TEXT(WEEKDAY(DATE(CalendarYear,7,4),1),"aaa")</f>
        <v>1900</v>
      </c>
      <c r="G5" s="1" t="str">
        <f>TEXT(WEEKDAY(DATE(CalendarYear,7,5),1),"aaa")</f>
        <v>1900</v>
      </c>
      <c r="H5" s="1" t="str">
        <f>TEXT(WEEKDAY(DATE(CalendarYear,7,6),1),"aaa")</f>
        <v>1900</v>
      </c>
      <c r="I5" s="1" t="str">
        <f>TEXT(WEEKDAY(DATE(CalendarYear,7,7),1),"aaa")</f>
        <v>1900</v>
      </c>
      <c r="J5" s="1" t="str">
        <f>TEXT(WEEKDAY(DATE(CalendarYear,7,8),1),"aaa")</f>
        <v>1900</v>
      </c>
      <c r="K5" s="1" t="str">
        <f>TEXT(WEEKDAY(DATE(CalendarYear,7,9),1),"aaa")</f>
        <v>1900</v>
      </c>
      <c r="L5" s="1" t="str">
        <f>TEXT(WEEKDAY(DATE(CalendarYear,7,10),1),"aaa")</f>
        <v>1900</v>
      </c>
      <c r="M5" s="1" t="str">
        <f>TEXT(WEEKDAY(DATE(CalendarYear,7,11),1),"aaa")</f>
        <v>1900</v>
      </c>
      <c r="N5" s="1" t="str">
        <f>TEXT(WEEKDAY(DATE(CalendarYear,7,12),1),"aaa")</f>
        <v>1900</v>
      </c>
      <c r="O5" s="1" t="str">
        <f>TEXT(WEEKDAY(DATE(CalendarYear,7,13),1),"aaa")</f>
        <v>1900</v>
      </c>
      <c r="P5" s="1" t="str">
        <f>TEXT(WEEKDAY(DATE(CalendarYear,7,14),1),"aaa")</f>
        <v>1900</v>
      </c>
      <c r="Q5" s="1" t="str">
        <f>TEXT(WEEKDAY(DATE(CalendarYear,7,15),1),"aaa")</f>
        <v>1900</v>
      </c>
      <c r="R5" s="1" t="str">
        <f>TEXT(WEEKDAY(DATE(CalendarYear,7,16),1),"aaa")</f>
        <v>1900</v>
      </c>
      <c r="S5" s="1" t="str">
        <f>TEXT(WEEKDAY(DATE(CalendarYear,7,17),1),"aaa")</f>
        <v>1900</v>
      </c>
      <c r="T5" s="1" t="str">
        <f>TEXT(WEEKDAY(DATE(CalendarYear,7,18),1),"aaa")</f>
        <v>1900</v>
      </c>
      <c r="U5" s="1" t="str">
        <f>TEXT(WEEKDAY(DATE(CalendarYear,7,19),1),"aaa")</f>
        <v>1900</v>
      </c>
      <c r="V5" s="1" t="str">
        <f>TEXT(WEEKDAY(DATE(CalendarYear,7,20),1),"aaa")</f>
        <v>1900</v>
      </c>
      <c r="W5" s="1" t="str">
        <f>TEXT(WEEKDAY(DATE(CalendarYear,7,21),1),"aaa")</f>
        <v>1900</v>
      </c>
      <c r="X5" s="1" t="str">
        <f>TEXT(WEEKDAY(DATE(CalendarYear,7,22),1),"aaa")</f>
        <v>1900</v>
      </c>
      <c r="Y5" s="1" t="str">
        <f>TEXT(WEEKDAY(DATE(CalendarYear,7,23),1),"aaa")</f>
        <v>1900</v>
      </c>
      <c r="Z5" s="1" t="str">
        <f>TEXT(WEEKDAY(DATE(CalendarYear,7,24),1),"aaa")</f>
        <v>1900</v>
      </c>
      <c r="AA5" s="1" t="str">
        <f>TEXT(WEEKDAY(DATE(CalendarYear,7,25),1),"aaa")</f>
        <v>1900</v>
      </c>
      <c r="AB5" s="1" t="str">
        <f>TEXT(WEEKDAY(DATE(CalendarYear,7,26),1),"aaa")</f>
        <v>1900</v>
      </c>
      <c r="AC5" s="1" t="str">
        <f>TEXT(WEEKDAY(DATE(CalendarYear,7,27),1),"aaa")</f>
        <v>1900</v>
      </c>
      <c r="AD5" s="1" t="str">
        <f>TEXT(WEEKDAY(DATE(CalendarYear,7,28),1),"aaa")</f>
        <v>1900</v>
      </c>
      <c r="AE5" s="1" t="str">
        <f>TEXT(WEEKDAY(DATE(CalendarYear,7,29),1),"aaa")</f>
        <v>1900</v>
      </c>
      <c r="AF5" s="1" t="str">
        <f>TEXT(WEEKDAY(DATE(CalendarYear,7,30),1),"aaa")</f>
        <v>1900</v>
      </c>
      <c r="AG5" s="1" t="str">
        <f>TEXT(WEEKDAY(DATE(CalendarYear,7,31),1),"aaa")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5"/>
      <c r="AH9" s="6"/>
    </row>
    <row r="10" spans="1:34" ht="30" customHeight="1" x14ac:dyDescent="0.3">
      <c r="B10" s="5"/>
      <c r="AH10" s="6"/>
    </row>
    <row r="11" spans="1:34" ht="30" customHeight="1" x14ac:dyDescent="0.3">
      <c r="B11" s="5"/>
      <c r="AH11" s="6"/>
    </row>
    <row r="12" spans="1:34" ht="30" customHeight="1" x14ac:dyDescent="0.3">
      <c r="B12" s="7"/>
      <c r="AG12" s="8"/>
      <c r="AH12" s="6"/>
    </row>
  </sheetData>
  <conditionalFormatting sqref="C7:AG12">
    <cfRule type="expression" priority="1" stopIfTrue="1">
      <formula>C7=""</formula>
    </cfRule>
  </conditionalFormatting>
  <conditionalFormatting sqref="C7:AG12">
    <cfRule type="expression" dxfId="251" priority="2" stopIfTrue="1">
      <formula>C7=KeyCustom2</formula>
    </cfRule>
    <cfRule type="expression" dxfId="250" priority="3" stopIfTrue="1">
      <formula>C7=KeyCustom1</formula>
    </cfRule>
    <cfRule type="expression" dxfId="249" priority="4" stopIfTrue="1">
      <formula>C7=KeySick</formula>
    </cfRule>
    <cfRule type="expression" dxfId="248" priority="5" stopIfTrue="1">
      <formula>C7=KeyPersonal</formula>
    </cfRule>
    <cfRule type="expression" dxfId="247" priority="6" stopIfTrue="1">
      <formula>C7=KeyVacation</formula>
    </cfRule>
  </conditionalFormatting>
  <conditionalFormatting sqref="AH7:AH12">
    <cfRule type="dataBar" priority="277">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9">
    <dataValidation allowBlank="1" showInputMessage="1" showErrorMessage="1" prompt="Days of the month in this row are automatically generated. Enter an employee's absence and absence type in each column for each day of the month. Blank means no absence" sqref="C6" xr:uid="{00000000-0002-0000-0600-000000000000}"/>
    <dataValidation allowBlank="1" showInputMessage="1" showErrorMessage="1" prompt="Month name for this absence schedule is in this cell. Absence totals for this month are in last cell of the table. Select employee names in table column B" sqref="B4" xr:uid="{AF69A0AA-A903-4E30-9DF0-743474C890C1}"/>
    <dataValidation allowBlank="1" showInputMessage="1" showErrorMessage="1" prompt="Automatically updated title is in this cell. To modify the title, update B1 on January worksheet" sqref="B1:B2" xr:uid="{00000000-0002-0000-06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600-000009000000}"/>
    <dataValidation allowBlank="1" showInputMessage="1" showErrorMessage="1" prompt="Track July absence in this worksheet" sqref="A1:A2" xr:uid="{00000000-0002-0000-0600-00000A000000}"/>
    <dataValidation allowBlank="1" showInputMessage="1" showErrorMessage="1" prompt="Automatically calculates total number of days an employee was absent this month in this column" sqref="AH6" xr:uid="{00000000-0002-0000-0600-00000B000000}"/>
    <dataValidation allowBlank="1" showInputMessage="1" showErrorMessage="1" prompt="Automatically updated year based on year entered in January worksheet" sqref="AH4" xr:uid="{2DE25ABD-6EF5-40AE-9C94-B9168E642A60}"/>
    <dataValidation allowBlank="1" showInputMessage="1" showErrorMessage="1" prompt="Weekdays in this row are automatically updated for the month according to the year in AH4. Each day of the month is a column to note an employee's absence and absence type" sqref="C5" xr:uid="{9A8ECCF0-00CC-4221-A558-217EF19A2A08}"/>
    <dataValidation type="list" allowBlank="1" showInputMessage="1" showErrorMessage="1" sqref="B7:B12" xr:uid="{00000000-0002-0000-06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0.749992370372631"/>
    <pageSetUpPr fitToPage="1"/>
  </sheetPr>
  <dimension ref="A1:AH23"/>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40</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TEXT(WEEKDAY(DATE(CalendarYear,8,1),1),"aaa")</f>
        <v>1900</v>
      </c>
      <c r="D5" s="1" t="str">
        <f>TEXT(WEEKDAY(DATE(CalendarYear,8,2),1),"aaa")</f>
        <v>1900</v>
      </c>
      <c r="E5" s="1" t="str">
        <f>TEXT(WEEKDAY(DATE(CalendarYear,8,3),1),"aaa")</f>
        <v>1900</v>
      </c>
      <c r="F5" s="1" t="str">
        <f>TEXT(WEEKDAY(DATE(CalendarYear,8,4),1),"aaa")</f>
        <v>1900</v>
      </c>
      <c r="G5" s="1" t="str">
        <f>TEXT(WEEKDAY(DATE(CalendarYear,8,5),1),"aaa")</f>
        <v>1900</v>
      </c>
      <c r="H5" s="1" t="str">
        <f>TEXT(WEEKDAY(DATE(CalendarYear,8,6),1),"aaa")</f>
        <v>1900</v>
      </c>
      <c r="I5" s="1" t="str">
        <f>TEXT(WEEKDAY(DATE(CalendarYear,8,7),1),"aaa")</f>
        <v>1900</v>
      </c>
      <c r="J5" s="1" t="str">
        <f>TEXT(WEEKDAY(DATE(CalendarYear,8,8),1),"aaa")</f>
        <v>1900</v>
      </c>
      <c r="K5" s="1" t="str">
        <f>TEXT(WEEKDAY(DATE(CalendarYear,8,9),1),"aaa")</f>
        <v>1900</v>
      </c>
      <c r="L5" s="1" t="str">
        <f>TEXT(WEEKDAY(DATE(CalendarYear,8,10),1),"aaa")</f>
        <v>1900</v>
      </c>
      <c r="M5" s="1" t="str">
        <f>TEXT(WEEKDAY(DATE(CalendarYear,8,11),1),"aaa")</f>
        <v>1900</v>
      </c>
      <c r="N5" s="1" t="str">
        <f>TEXT(WEEKDAY(DATE(CalendarYear,8,12),1),"aaa")</f>
        <v>1900</v>
      </c>
      <c r="O5" s="1" t="str">
        <f>TEXT(WEEKDAY(DATE(CalendarYear,8,13),1),"aaa")</f>
        <v>1900</v>
      </c>
      <c r="P5" s="1" t="str">
        <f>TEXT(WEEKDAY(DATE(CalendarYear,8,14),1),"aaa")</f>
        <v>1900</v>
      </c>
      <c r="Q5" s="1" t="str">
        <f>TEXT(WEEKDAY(DATE(CalendarYear,8,15),1),"aaa")</f>
        <v>1900</v>
      </c>
      <c r="R5" s="1" t="str">
        <f>TEXT(WEEKDAY(DATE(CalendarYear,8,16),1),"aaa")</f>
        <v>1900</v>
      </c>
      <c r="S5" s="1" t="str">
        <f>TEXT(WEEKDAY(DATE(CalendarYear,8,17),1),"aaa")</f>
        <v>1900</v>
      </c>
      <c r="T5" s="1" t="str">
        <f>TEXT(WEEKDAY(DATE(CalendarYear,8,18),1),"aaa")</f>
        <v>1900</v>
      </c>
      <c r="U5" s="1" t="str">
        <f>TEXT(WEEKDAY(DATE(CalendarYear,8,19),1),"aaa")</f>
        <v>1900</v>
      </c>
      <c r="V5" s="1" t="str">
        <f>TEXT(WEEKDAY(DATE(CalendarYear,8,20),1),"aaa")</f>
        <v>1900</v>
      </c>
      <c r="W5" s="1" t="str">
        <f>TEXT(WEEKDAY(DATE(CalendarYear,8,21),1),"aaa")</f>
        <v>1900</v>
      </c>
      <c r="X5" s="1" t="str">
        <f>TEXT(WEEKDAY(DATE(CalendarYear,8,22),1),"aaa")</f>
        <v>1900</v>
      </c>
      <c r="Y5" s="1" t="str">
        <f>TEXT(WEEKDAY(DATE(CalendarYear,8,23),1),"aaa")</f>
        <v>1900</v>
      </c>
      <c r="Z5" s="1" t="str">
        <f>TEXT(WEEKDAY(DATE(CalendarYear,8,24),1),"aaa")</f>
        <v>1900</v>
      </c>
      <c r="AA5" s="1" t="str">
        <f>TEXT(WEEKDAY(DATE(CalendarYear,8,25),1),"aaa")</f>
        <v>1900</v>
      </c>
      <c r="AB5" s="1" t="str">
        <f>TEXT(WEEKDAY(DATE(CalendarYear,8,26),1),"aaa")</f>
        <v>1900</v>
      </c>
      <c r="AC5" s="1" t="str">
        <f>TEXT(WEEKDAY(DATE(CalendarYear,8,27),1),"aaa")</f>
        <v>1900</v>
      </c>
      <c r="AD5" s="1" t="str">
        <f>TEXT(WEEKDAY(DATE(CalendarYear,8,28),1),"aaa")</f>
        <v>1900</v>
      </c>
      <c r="AE5" s="1" t="str">
        <f>TEXT(WEEKDAY(DATE(CalendarYear,8,29),1),"aaa")</f>
        <v>1900</v>
      </c>
      <c r="AF5" s="1" t="str">
        <f>TEXT(WEEKDAY(DATE(CalendarYear,8,30),1),"aaa")</f>
        <v>1900</v>
      </c>
      <c r="AG5" s="1" t="str">
        <f>TEXT(WEEKDAY(DATE(CalendarYear,8,31),1),"aaa")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12"/>
      <c r="AG9" s="8"/>
      <c r="AH9" s="6"/>
    </row>
    <row r="10" spans="1:34" ht="30" customHeight="1" x14ac:dyDescent="0.3">
      <c r="B10" s="7"/>
      <c r="AG10" s="8"/>
      <c r="AH10" s="6"/>
    </row>
    <row r="11" spans="1:34" ht="30" customHeight="1" x14ac:dyDescent="0.3">
      <c r="B11" s="7"/>
      <c r="AG11" s="8"/>
      <c r="AH11" s="6"/>
    </row>
    <row r="12" spans="1:34" ht="30" customHeight="1" x14ac:dyDescent="0.3">
      <c r="B12" s="7"/>
      <c r="AG12" s="8"/>
      <c r="AH12" s="6"/>
    </row>
    <row r="13" spans="1:34" ht="30" customHeight="1" x14ac:dyDescent="0.3">
      <c r="B13" s="7"/>
      <c r="AG13" s="8"/>
      <c r="AH13" s="6"/>
    </row>
    <row r="14" spans="1:34" ht="30" customHeight="1" x14ac:dyDescent="0.3">
      <c r="B14" s="7"/>
      <c r="AG14" s="8"/>
      <c r="AH14" s="6"/>
    </row>
    <row r="15" spans="1:34" ht="30" customHeight="1" x14ac:dyDescent="0.3">
      <c r="B15" s="7"/>
      <c r="AG15" s="8"/>
      <c r="AH15" s="6"/>
    </row>
    <row r="16" spans="1:34" ht="30" customHeight="1" x14ac:dyDescent="0.3">
      <c r="B16" s="7"/>
      <c r="AG16" s="8"/>
      <c r="AH16" s="6"/>
    </row>
    <row r="17" spans="2:34" ht="30" customHeight="1" x14ac:dyDescent="0.3">
      <c r="B17" s="7"/>
      <c r="AG17" s="8"/>
      <c r="AH17" s="6"/>
    </row>
    <row r="18" spans="2:34" ht="30" customHeight="1" x14ac:dyDescent="0.3">
      <c r="B18" s="7"/>
      <c r="AG18" s="8"/>
      <c r="AH18" s="6"/>
    </row>
    <row r="19" spans="2:34" ht="30" customHeight="1" x14ac:dyDescent="0.3">
      <c r="B19" s="7"/>
      <c r="AG19" s="8"/>
      <c r="AH19" s="6"/>
    </row>
    <row r="20" spans="2:34" ht="30" customHeight="1" x14ac:dyDescent="0.3">
      <c r="B20" s="7"/>
      <c r="AG20" s="8"/>
      <c r="AH20" s="6"/>
    </row>
    <row r="21" spans="2:34" ht="30" customHeight="1" x14ac:dyDescent="0.3">
      <c r="B21" s="7"/>
      <c r="AG21" s="8"/>
      <c r="AH21" s="6"/>
    </row>
    <row r="22" spans="2:34" ht="30" customHeight="1" x14ac:dyDescent="0.3">
      <c r="B22" s="7"/>
      <c r="AG22" s="8"/>
      <c r="AH22" s="6"/>
    </row>
    <row r="23" spans="2:34" ht="30" customHeight="1" x14ac:dyDescent="0.3">
      <c r="B23" s="7"/>
      <c r="AG23" s="8"/>
      <c r="AH23" s="6"/>
    </row>
  </sheetData>
  <conditionalFormatting sqref="C7:AG12">
    <cfRule type="expression" priority="1" stopIfTrue="1">
      <formula>C7=""</formula>
    </cfRule>
  </conditionalFormatting>
  <conditionalFormatting sqref="C7:AG12">
    <cfRule type="expression" dxfId="209" priority="2" stopIfTrue="1">
      <formula>C7=KeyCustom2</formula>
    </cfRule>
    <cfRule type="expression" dxfId="208" priority="3" stopIfTrue="1">
      <formula>C7=KeyCustom1</formula>
    </cfRule>
    <cfRule type="expression" dxfId="207" priority="4" stopIfTrue="1">
      <formula>C7=KeySick</formula>
    </cfRule>
    <cfRule type="expression" dxfId="206" priority="5" stopIfTrue="1">
      <formula>C7=KeyPersonal</formula>
    </cfRule>
    <cfRule type="expression" dxfId="205" priority="6" stopIfTrue="1">
      <formula>C7=KeyVacation</formula>
    </cfRule>
  </conditionalFormatting>
  <conditionalFormatting sqref="AH7:AH12">
    <cfRule type="dataBar" priority="250">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9">
    <dataValidation allowBlank="1" showInputMessage="1" showErrorMessage="1" prompt="Weekdays in this row are automatically updated for the month according to the year in AH4. Each day of the month is a column to note an employee's absence and absence type" sqref="C5" xr:uid="{40D4DFAA-D824-4FE8-8E20-E8F43F6028D8}"/>
    <dataValidation allowBlank="1" showInputMessage="1" showErrorMessage="1" prompt="Automatically updated year based on year entered in January worksheet" sqref="AH4" xr:uid="{A00F9536-6240-4DC5-816A-F3BD246DAD31}"/>
    <dataValidation allowBlank="1" showInputMessage="1" showErrorMessage="1" prompt="Automatically calculates total number of days an employee was absent this month in this column" sqref="AH6" xr:uid="{00000000-0002-0000-0700-000002000000}"/>
    <dataValidation allowBlank="1" showInputMessage="1" showErrorMessage="1" prompt="Track August absence in this worksheet" sqref="A1:A2" xr:uid="{00000000-0002-0000-07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700-000004000000}"/>
    <dataValidation allowBlank="1" showInputMessage="1" showErrorMessage="1" prompt="Automatically updated title is in this cell. To modify the title, update B1 on January worksheet" sqref="B1:B2" xr:uid="{00000000-0002-0000-0700-000005000000}"/>
    <dataValidation allowBlank="1" showInputMessage="1" showErrorMessage="1" prompt="Month name for this absence schedule is in this cell. Absence totals for this month are in last cell of the table. Select employee names in table column B" sqref="B4" xr:uid="{F6F3396E-4037-454F-859E-337AC1440E0C}"/>
    <dataValidation allowBlank="1" showInputMessage="1" showErrorMessage="1" prompt="Days of the month in this row are automatically generated. Enter an employee's absence and absence type in each column for each day of the month. Blank means no absence" sqref="C6" xr:uid="{00000000-0002-0000-0700-00000D000000}"/>
    <dataValidation type="list" allowBlank="1" showInputMessage="1" showErrorMessage="1" sqref="B7:B12" xr:uid="{00000000-0002-0000-07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499984740745262"/>
    <pageSetUpPr fitToPage="1"/>
  </sheetPr>
  <dimension ref="A1:AH12"/>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41</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TEXT(WEEKDAY(DATE(CalendarYear,9,1),1),"aaa")</f>
        <v>1900</v>
      </c>
      <c r="D5" s="1" t="str">
        <f>TEXT(WEEKDAY(DATE(CalendarYear,9,2),1),"aaa")</f>
        <v>1900</v>
      </c>
      <c r="E5" s="1" t="str">
        <f>TEXT(WEEKDAY(DATE(CalendarYear,9,3),1),"aaa")</f>
        <v>1900</v>
      </c>
      <c r="F5" s="1" t="str">
        <f>TEXT(WEEKDAY(DATE(CalendarYear,9,4),1),"aaa")</f>
        <v>1900</v>
      </c>
      <c r="G5" s="1" t="str">
        <f>TEXT(WEEKDAY(DATE(CalendarYear,9,5),1),"aaa")</f>
        <v>1900</v>
      </c>
      <c r="H5" s="1" t="str">
        <f>TEXT(WEEKDAY(DATE(CalendarYear,9,6),1),"aaa")</f>
        <v>1900</v>
      </c>
      <c r="I5" s="1" t="str">
        <f>TEXT(WEEKDAY(DATE(CalendarYear,9,7),1),"aaa")</f>
        <v>1900</v>
      </c>
      <c r="J5" s="1" t="str">
        <f>TEXT(WEEKDAY(DATE(CalendarYear,9,8),1),"aaa")</f>
        <v>1900</v>
      </c>
      <c r="K5" s="1" t="str">
        <f>TEXT(WEEKDAY(DATE(CalendarYear,9,9),1),"aaa")</f>
        <v>1900</v>
      </c>
      <c r="L5" s="1" t="str">
        <f>TEXT(WEEKDAY(DATE(CalendarYear,9,10),1),"aaa")</f>
        <v>1900</v>
      </c>
      <c r="M5" s="1" t="str">
        <f>TEXT(WEEKDAY(DATE(CalendarYear,9,11),1),"aaa")</f>
        <v>1900</v>
      </c>
      <c r="N5" s="1" t="str">
        <f>TEXT(WEEKDAY(DATE(CalendarYear,9,12),1),"aaa")</f>
        <v>1900</v>
      </c>
      <c r="O5" s="1" t="str">
        <f>TEXT(WEEKDAY(DATE(CalendarYear,9,13),1),"aaa")</f>
        <v>1900</v>
      </c>
      <c r="P5" s="1" t="str">
        <f>TEXT(WEEKDAY(DATE(CalendarYear,9,14),1),"aaa")</f>
        <v>1900</v>
      </c>
      <c r="Q5" s="1" t="str">
        <f>TEXT(WEEKDAY(DATE(CalendarYear,9,15),1),"aaa")</f>
        <v>1900</v>
      </c>
      <c r="R5" s="1" t="str">
        <f>TEXT(WEEKDAY(DATE(CalendarYear,9,16),1),"aaa")</f>
        <v>1900</v>
      </c>
      <c r="S5" s="1" t="str">
        <f>TEXT(WEEKDAY(DATE(CalendarYear,9,17),1),"aaa")</f>
        <v>1900</v>
      </c>
      <c r="T5" s="1" t="str">
        <f>TEXT(WEEKDAY(DATE(CalendarYear,9,18),1),"aaa")</f>
        <v>1900</v>
      </c>
      <c r="U5" s="1" t="str">
        <f>TEXT(WEEKDAY(DATE(CalendarYear,9,19),1),"aaa")</f>
        <v>1900</v>
      </c>
      <c r="V5" s="1" t="str">
        <f>TEXT(WEEKDAY(DATE(CalendarYear,9,20),1),"aaa")</f>
        <v>1900</v>
      </c>
      <c r="W5" s="1" t="str">
        <f>TEXT(WEEKDAY(DATE(CalendarYear,9,21),1),"aaa")</f>
        <v>1900</v>
      </c>
      <c r="X5" s="1" t="str">
        <f>TEXT(WEEKDAY(DATE(CalendarYear,9,22),1),"aaa")</f>
        <v>1900</v>
      </c>
      <c r="Y5" s="1" t="str">
        <f>TEXT(WEEKDAY(DATE(CalendarYear,9,23),1),"aaa")</f>
        <v>1900</v>
      </c>
      <c r="Z5" s="1" t="str">
        <f>TEXT(WEEKDAY(DATE(CalendarYear,9,24),1),"aaa")</f>
        <v>1900</v>
      </c>
      <c r="AA5" s="1" t="str">
        <f>TEXT(WEEKDAY(DATE(CalendarYear,9,25),1),"aaa")</f>
        <v>1900</v>
      </c>
      <c r="AB5" s="1" t="str">
        <f>TEXT(WEEKDAY(DATE(CalendarYear,9,26),1),"aaa")</f>
        <v>1900</v>
      </c>
      <c r="AC5" s="1" t="str">
        <f>TEXT(WEEKDAY(DATE(CalendarYear,9,27),1),"aaa")</f>
        <v>1900</v>
      </c>
      <c r="AD5" s="1" t="str">
        <f>TEXT(WEEKDAY(DATE(CalendarYear,9,28),1),"aaa")</f>
        <v>1900</v>
      </c>
      <c r="AE5" s="1" t="str">
        <f>TEXT(WEEKDAY(DATE(CalendarYear,9,29),1),"aaa")</f>
        <v>1900</v>
      </c>
      <c r="AF5" s="1" t="str">
        <f>TEXT(WEEKDAY(DATE(CalendarYear,9,30),1),"aaa")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5"/>
      <c r="AH9" s="6"/>
    </row>
    <row r="10" spans="1:34" ht="30" customHeight="1" x14ac:dyDescent="0.3">
      <c r="B10" s="5"/>
      <c r="AH10" s="6"/>
    </row>
    <row r="11" spans="1:34" ht="30" customHeight="1" x14ac:dyDescent="0.3">
      <c r="B11" s="5"/>
      <c r="AH11" s="6"/>
    </row>
    <row r="12" spans="1:34" ht="30" customHeight="1" x14ac:dyDescent="0.3">
      <c r="B12" s="7"/>
      <c r="AG12" s="8"/>
      <c r="AH12" s="8"/>
    </row>
  </sheetData>
  <conditionalFormatting sqref="C7:AG12">
    <cfRule type="expression" priority="1" stopIfTrue="1">
      <formula>C7=""</formula>
    </cfRule>
  </conditionalFormatting>
  <conditionalFormatting sqref="C7:AG12">
    <cfRule type="expression" dxfId="167" priority="2" stopIfTrue="1">
      <formula>C7=KeyCustom2</formula>
    </cfRule>
    <cfRule type="expression" dxfId="166" priority="3" stopIfTrue="1">
      <formula>C7=KeyCustom1</formula>
    </cfRule>
    <cfRule type="expression" dxfId="165" priority="4" stopIfTrue="1">
      <formula>C7=KeySick</formula>
    </cfRule>
    <cfRule type="expression" dxfId="164" priority="5" stopIfTrue="1">
      <formula>C7=KeyPersonal</formula>
    </cfRule>
    <cfRule type="expression" dxfId="163" priority="6" stopIfTrue="1">
      <formula>C7=KeyVacation</formula>
    </cfRule>
  </conditionalFormatting>
  <conditionalFormatting sqref="AH7:AH12">
    <cfRule type="dataBar" priority="7">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9">
    <dataValidation allowBlank="1" showInputMessage="1" showErrorMessage="1" prompt="Days of the month in this row are automatically generated. Enter an employee's absence and absence type in each column for each day of the month. Blank means no absence" sqref="C6" xr:uid="{00000000-0002-0000-0800-000000000000}"/>
    <dataValidation allowBlank="1" showInputMessage="1" showErrorMessage="1" prompt="Month name for this absence schedule is in this cell. Absence totals for this month are in last cell of the table. Select employee names in table column B" sqref="B4" xr:uid="{8C2F4EED-431A-4265-A282-BD34D812421E}"/>
    <dataValidation allowBlank="1" showInputMessage="1" showErrorMessage="1" prompt="Automatically updated title is in this cell. To modify the title, update B1 on January worksheet" sqref="B1:B2" xr:uid="{00000000-0002-0000-08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800-000009000000}"/>
    <dataValidation allowBlank="1" showInputMessage="1" showErrorMessage="1" prompt="Track September absence in this worksheet" sqref="A1:A2" xr:uid="{00000000-0002-0000-0800-00000A000000}"/>
    <dataValidation allowBlank="1" showInputMessage="1" showErrorMessage="1" prompt="Automatically calculates total number of days an employee was absent this month in this column" sqref="AH6" xr:uid="{00000000-0002-0000-0800-00000B000000}"/>
    <dataValidation allowBlank="1" showInputMessage="1" showErrorMessage="1" prompt="Automatically updated year based on year entered in January worksheet" sqref="AH4" xr:uid="{A01268D3-04BB-4193-B68D-8B61106AA67F}"/>
    <dataValidation allowBlank="1" showInputMessage="1" showErrorMessage="1" prompt="Weekdays in this row are automatically updated for the month according to the year in AH4. Each day of the month is a column to note an employee's absence and absence type" sqref="C5" xr:uid="{DC096DE1-FF92-4048-A58B-2C5589E81612}"/>
    <dataValidation type="list" allowBlank="1" showInputMessage="1" showErrorMessage="1" sqref="B7:B12" xr:uid="{00000000-0002-0000-08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tint="-0.249977111117893"/>
    <pageSetUpPr fitToPage="1"/>
  </sheetPr>
  <dimension ref="A1:AH12"/>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42</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TEXT(WEEKDAY(DATE(CalendarYear,10,1),1),"aaa")</f>
        <v>1900</v>
      </c>
      <c r="D5" s="1" t="str">
        <f>TEXT(WEEKDAY(DATE(CalendarYear,10,2),1),"aaa")</f>
        <v>1900</v>
      </c>
      <c r="E5" s="1" t="str">
        <f>TEXT(WEEKDAY(DATE(CalendarYear,10,3),1),"aaa")</f>
        <v>1900</v>
      </c>
      <c r="F5" s="1" t="str">
        <f>TEXT(WEEKDAY(DATE(CalendarYear,10,4),1),"aaa")</f>
        <v>1900</v>
      </c>
      <c r="G5" s="1" t="str">
        <f>TEXT(WEEKDAY(DATE(CalendarYear,10,5),1),"aaa")</f>
        <v>1900</v>
      </c>
      <c r="H5" s="1" t="str">
        <f>TEXT(WEEKDAY(DATE(CalendarYear,10,6),1),"aaa")</f>
        <v>1900</v>
      </c>
      <c r="I5" s="1" t="str">
        <f>TEXT(WEEKDAY(DATE(CalendarYear,10,7),1),"aaa")</f>
        <v>1900</v>
      </c>
      <c r="J5" s="1" t="str">
        <f>TEXT(WEEKDAY(DATE(CalendarYear,10,8),1),"aaa")</f>
        <v>1900</v>
      </c>
      <c r="K5" s="1" t="str">
        <f>TEXT(WEEKDAY(DATE(CalendarYear,10,9),1),"aaa")</f>
        <v>1900</v>
      </c>
      <c r="L5" s="1" t="str">
        <f>TEXT(WEEKDAY(DATE(CalendarYear,10,10),1),"aaa")</f>
        <v>1900</v>
      </c>
      <c r="M5" s="1" t="str">
        <f>TEXT(WEEKDAY(DATE(CalendarYear,10,11),1),"aaa")</f>
        <v>1900</v>
      </c>
      <c r="N5" s="1" t="str">
        <f>TEXT(WEEKDAY(DATE(CalendarYear,10,12),1),"aaa")</f>
        <v>1900</v>
      </c>
      <c r="O5" s="1" t="str">
        <f>TEXT(WEEKDAY(DATE(CalendarYear,10,13),1),"aaa")</f>
        <v>1900</v>
      </c>
      <c r="P5" s="1" t="str">
        <f>TEXT(WEEKDAY(DATE(CalendarYear,10,14),1),"aaa")</f>
        <v>1900</v>
      </c>
      <c r="Q5" s="1" t="str">
        <f>TEXT(WEEKDAY(DATE(CalendarYear,10,15),1),"aaa")</f>
        <v>1900</v>
      </c>
      <c r="R5" s="1" t="str">
        <f>TEXT(WEEKDAY(DATE(CalendarYear,10,16),1),"aaa")</f>
        <v>1900</v>
      </c>
      <c r="S5" s="1" t="str">
        <f>TEXT(WEEKDAY(DATE(CalendarYear,10,17),1),"aaa")</f>
        <v>1900</v>
      </c>
      <c r="T5" s="1" t="str">
        <f>TEXT(WEEKDAY(DATE(CalendarYear,10,18),1),"aaa")</f>
        <v>1900</v>
      </c>
      <c r="U5" s="1" t="str">
        <f>TEXT(WEEKDAY(DATE(CalendarYear,10,19),1),"aaa")</f>
        <v>1900</v>
      </c>
      <c r="V5" s="1" t="str">
        <f>TEXT(WEEKDAY(DATE(CalendarYear,10,20),1),"aaa")</f>
        <v>1900</v>
      </c>
      <c r="W5" s="1" t="str">
        <f>TEXT(WEEKDAY(DATE(CalendarYear,10,21),1),"aaa")</f>
        <v>1900</v>
      </c>
      <c r="X5" s="1" t="str">
        <f>TEXT(WEEKDAY(DATE(CalendarYear,10,22),1),"aaa")</f>
        <v>1900</v>
      </c>
      <c r="Y5" s="1" t="str">
        <f>TEXT(WEEKDAY(DATE(CalendarYear,10,23),1),"aaa")</f>
        <v>1900</v>
      </c>
      <c r="Z5" s="1" t="str">
        <f>TEXT(WEEKDAY(DATE(CalendarYear,10,24),1),"aaa")</f>
        <v>1900</v>
      </c>
      <c r="AA5" s="1" t="str">
        <f>TEXT(WEEKDAY(DATE(CalendarYear,10,25),1),"aaa")</f>
        <v>1900</v>
      </c>
      <c r="AB5" s="1" t="str">
        <f>TEXT(WEEKDAY(DATE(CalendarYear,10,26),1),"aaa")</f>
        <v>1900</v>
      </c>
      <c r="AC5" s="1" t="str">
        <f>TEXT(WEEKDAY(DATE(CalendarYear,10,27),1),"aaa")</f>
        <v>1900</v>
      </c>
      <c r="AD5" s="1" t="str">
        <f>TEXT(WEEKDAY(DATE(CalendarYear,10,28),1),"aaa")</f>
        <v>1900</v>
      </c>
      <c r="AE5" s="1" t="str">
        <f>TEXT(WEEKDAY(DATE(CalendarYear,10,29),1),"aaa")</f>
        <v>1900</v>
      </c>
      <c r="AF5" s="1" t="str">
        <f>TEXT(WEEKDAY(DATE(CalendarYear,10,30),1),"aaa")</f>
        <v>1900</v>
      </c>
      <c r="AG5" s="1" t="str">
        <f>TEXT(WEEKDAY(DATE(CalendarYear,10,31),1),"aaa")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5"/>
      <c r="AH9" s="6"/>
    </row>
    <row r="10" spans="1:34" ht="30" customHeight="1" x14ac:dyDescent="0.3">
      <c r="B10" s="5"/>
      <c r="AH10" s="6"/>
    </row>
    <row r="11" spans="1:34" ht="30" customHeight="1" x14ac:dyDescent="0.3">
      <c r="B11" s="5"/>
      <c r="AH11" s="6"/>
    </row>
    <row r="12" spans="1:34" ht="30" customHeight="1" x14ac:dyDescent="0.3">
      <c r="B12" s="7"/>
      <c r="AG12" s="8"/>
      <c r="AH12" s="8"/>
    </row>
  </sheetData>
  <conditionalFormatting sqref="C7:AG12">
    <cfRule type="expression" priority="1" stopIfTrue="1">
      <formula>C7=""</formula>
    </cfRule>
  </conditionalFormatting>
  <conditionalFormatting sqref="C7:AG12">
    <cfRule type="expression" dxfId="125" priority="2" stopIfTrue="1">
      <formula>C7=KeyCustom2</formula>
    </cfRule>
    <cfRule type="expression" dxfId="124" priority="3" stopIfTrue="1">
      <formula>C7=KeyCustom1</formula>
    </cfRule>
    <cfRule type="expression" dxfId="123" priority="4" stopIfTrue="1">
      <formula>C7=KeySick</formula>
    </cfRule>
    <cfRule type="expression" dxfId="122" priority="5" stopIfTrue="1">
      <formula>C7=KeyPersonal</formula>
    </cfRule>
    <cfRule type="expression" dxfId="121" priority="6" stopIfTrue="1">
      <formula>C7=KeyVacation</formula>
    </cfRule>
  </conditionalFormatting>
  <conditionalFormatting sqref="AH7:AH12">
    <cfRule type="dataBar" priority="7">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9">
    <dataValidation allowBlank="1" showInputMessage="1" showErrorMessage="1" prompt="Weekdays in this row are automatically updated for the month according to the year in AH4. Each day of the month is a column to note an employee's absence and absence type" sqref="C5" xr:uid="{6F72779E-2302-4AB1-BFF7-B9AD5F3F8ABF}"/>
    <dataValidation allowBlank="1" showInputMessage="1" showErrorMessage="1" prompt="Automatically updated year based on year entered in January worksheet" sqref="AH4" xr:uid="{C895C5E1-506C-4A47-AF2C-089CC9CB932E}"/>
    <dataValidation allowBlank="1" showInputMessage="1" showErrorMessage="1" prompt="Automatically calculates total number of days an employee was absent this month in this column" sqref="AH6" xr:uid="{00000000-0002-0000-0900-000002000000}"/>
    <dataValidation allowBlank="1" showInputMessage="1" showErrorMessage="1" prompt="Track October absence in this worksheet" sqref="A1:A2" xr:uid="{00000000-0002-0000-09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900-000004000000}"/>
    <dataValidation allowBlank="1" showInputMessage="1" showErrorMessage="1" prompt="Automatically updated title is in this cell. To modify the title, update B1 on January worksheet" sqref="B1:B2" xr:uid="{00000000-0002-0000-0900-000005000000}"/>
    <dataValidation allowBlank="1" showInputMessage="1" showErrorMessage="1" prompt="Month name for this absence schedule is in this cell. Absence totals for this month are in last cell of the table. Select employee names in table column B" sqref="B4" xr:uid="{E606E9FC-8955-49BE-8A82-09A427BD5852}"/>
    <dataValidation allowBlank="1" showInputMessage="1" showErrorMessage="1" prompt="Days of the month in this row are automatically generated. Enter an employee's absence and absence type in each column for each day of the month. Blank means no absence" sqref="C6" xr:uid="{00000000-0002-0000-0900-00000D000000}"/>
    <dataValidation type="list" allowBlank="1" showInputMessage="1" showErrorMessage="1" sqref="B7:B12" xr:uid="{00000000-0002-0000-09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249977111117893"/>
    <pageSetUpPr fitToPage="1"/>
  </sheetPr>
  <dimension ref="A1:AH12"/>
  <sheetViews>
    <sheetView showGridLines="0"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43</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TEXT(WEEKDAY(DATE(CalendarYear,11,1),1),"aaa")</f>
        <v>1900</v>
      </c>
      <c r="D5" s="1" t="str">
        <f>TEXT(WEEKDAY(DATE(CalendarYear,11,2),1),"aaa")</f>
        <v>1900</v>
      </c>
      <c r="E5" s="1" t="str">
        <f>TEXT(WEEKDAY(DATE(CalendarYear,11,3),1),"aaa")</f>
        <v>1900</v>
      </c>
      <c r="F5" s="1" t="str">
        <f>TEXT(WEEKDAY(DATE(CalendarYear,11,4),1),"aaa")</f>
        <v>1900</v>
      </c>
      <c r="G5" s="1" t="str">
        <f>TEXT(WEEKDAY(DATE(CalendarYear,11,5),1),"aaa")</f>
        <v>1900</v>
      </c>
      <c r="H5" s="1" t="str">
        <f>TEXT(WEEKDAY(DATE(CalendarYear,11,6),1),"aaa")</f>
        <v>1900</v>
      </c>
      <c r="I5" s="1" t="str">
        <f>TEXT(WEEKDAY(DATE(CalendarYear,11,7),1),"aaa")</f>
        <v>1900</v>
      </c>
      <c r="J5" s="1" t="str">
        <f>TEXT(WEEKDAY(DATE(CalendarYear,11,8),1),"aaa")</f>
        <v>1900</v>
      </c>
      <c r="K5" s="1" t="str">
        <f>TEXT(WEEKDAY(DATE(CalendarYear,11,9),1),"aaa")</f>
        <v>1900</v>
      </c>
      <c r="L5" s="1" t="str">
        <f>TEXT(WEEKDAY(DATE(CalendarYear,11,10),1),"aaa")</f>
        <v>1900</v>
      </c>
      <c r="M5" s="1" t="str">
        <f>TEXT(WEEKDAY(DATE(CalendarYear,11,11),1),"aaa")</f>
        <v>1900</v>
      </c>
      <c r="N5" s="1" t="str">
        <f>TEXT(WEEKDAY(DATE(CalendarYear,11,12),1),"aaa")</f>
        <v>1900</v>
      </c>
      <c r="O5" s="1" t="str">
        <f>TEXT(WEEKDAY(DATE(CalendarYear,11,13),1),"aaa")</f>
        <v>1900</v>
      </c>
      <c r="P5" s="1" t="str">
        <f>TEXT(WEEKDAY(DATE(CalendarYear,11,14),1),"aaa")</f>
        <v>1900</v>
      </c>
      <c r="Q5" s="1" t="str">
        <f>TEXT(WEEKDAY(DATE(CalendarYear,11,15),1),"aaa")</f>
        <v>1900</v>
      </c>
      <c r="R5" s="1" t="str">
        <f>TEXT(WEEKDAY(DATE(CalendarYear,11,16),1),"aaa")</f>
        <v>1900</v>
      </c>
      <c r="S5" s="1" t="str">
        <f>TEXT(WEEKDAY(DATE(CalendarYear,11,17),1),"aaa")</f>
        <v>1900</v>
      </c>
      <c r="T5" s="1" t="str">
        <f>TEXT(WEEKDAY(DATE(CalendarYear,11,18),1),"aaa")</f>
        <v>1900</v>
      </c>
      <c r="U5" s="1" t="str">
        <f>TEXT(WEEKDAY(DATE(CalendarYear,11,19),1),"aaa")</f>
        <v>1900</v>
      </c>
      <c r="V5" s="1" t="str">
        <f>TEXT(WEEKDAY(DATE(CalendarYear,11,20),1),"aaa")</f>
        <v>1900</v>
      </c>
      <c r="W5" s="1" t="str">
        <f>TEXT(WEEKDAY(DATE(CalendarYear,11,21),1),"aaa")</f>
        <v>1900</v>
      </c>
      <c r="X5" s="1" t="str">
        <f>TEXT(WEEKDAY(DATE(CalendarYear,11,22),1),"aaa")</f>
        <v>1900</v>
      </c>
      <c r="Y5" s="1" t="str">
        <f>TEXT(WEEKDAY(DATE(CalendarYear,11,23),1),"aaa")</f>
        <v>1900</v>
      </c>
      <c r="Z5" s="1" t="str">
        <f>TEXT(WEEKDAY(DATE(CalendarYear,11,24),1),"aaa")</f>
        <v>1900</v>
      </c>
      <c r="AA5" s="1" t="str">
        <f>TEXT(WEEKDAY(DATE(CalendarYear,11,25),1),"aaa")</f>
        <v>1900</v>
      </c>
      <c r="AB5" s="1" t="str">
        <f>TEXT(WEEKDAY(DATE(CalendarYear,11,26),1),"aaa")</f>
        <v>1900</v>
      </c>
      <c r="AC5" s="1" t="str">
        <f>TEXT(WEEKDAY(DATE(CalendarYear,11,27),1),"aaa")</f>
        <v>1900</v>
      </c>
      <c r="AD5" s="1" t="str">
        <f>TEXT(WEEKDAY(DATE(CalendarYear,11,28),1),"aaa")</f>
        <v>1900</v>
      </c>
      <c r="AE5" s="1" t="str">
        <f>TEXT(WEEKDAY(DATE(CalendarYear,11,29),1),"aaa")</f>
        <v>1900</v>
      </c>
      <c r="AF5" s="1" t="str">
        <f>TEXT(WEEKDAY(DATE(CalendarYear,11,30),1),"aaa")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5"/>
      <c r="AH9" s="6"/>
    </row>
    <row r="10" spans="1:34" ht="30" customHeight="1" x14ac:dyDescent="0.3">
      <c r="B10" s="5"/>
      <c r="AH10" s="6"/>
    </row>
    <row r="11" spans="1:34" ht="30" customHeight="1" x14ac:dyDescent="0.3">
      <c r="B11" s="5"/>
      <c r="AH11" s="6"/>
    </row>
    <row r="12" spans="1:34" ht="30" customHeight="1" x14ac:dyDescent="0.3">
      <c r="B12" s="7"/>
      <c r="AG12" s="8"/>
      <c r="AH12" s="8"/>
    </row>
  </sheetData>
  <conditionalFormatting sqref="C7:AG12">
    <cfRule type="expression" priority="1" stopIfTrue="1">
      <formula>C7=""</formula>
    </cfRule>
  </conditionalFormatting>
  <conditionalFormatting sqref="C7:AG12">
    <cfRule type="expression" dxfId="83" priority="2" stopIfTrue="1">
      <formula>C7=KeyCustom2</formula>
    </cfRule>
    <cfRule type="expression" dxfId="82" priority="3" stopIfTrue="1">
      <formula>C7=KeyCustom1</formula>
    </cfRule>
    <cfRule type="expression" dxfId="81" priority="4" stopIfTrue="1">
      <formula>C7=KeySick</formula>
    </cfRule>
    <cfRule type="expression" dxfId="80" priority="5" stopIfTrue="1">
      <formula>C7=KeyPersonal</formula>
    </cfRule>
    <cfRule type="expression" dxfId="79" priority="6" stopIfTrue="1">
      <formula>C7=KeyVacation</formula>
    </cfRule>
  </conditionalFormatting>
  <conditionalFormatting sqref="AH7:AH12">
    <cfRule type="dataBar" priority="7">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dataValidations count="9">
    <dataValidation allowBlank="1" showInputMessage="1" showErrorMessage="1" prompt="Days of the month in this row are automatically generated. Enter an employee's absence and absence type in each column for each day of the month. Blank means no absence" sqref="C6" xr:uid="{00000000-0002-0000-0A00-000000000000}"/>
    <dataValidation allowBlank="1" showInputMessage="1" showErrorMessage="1" prompt="Month name for this absence schedule is in this cell. Absence totals for this month are in last cell of the table. Select employee names in table column B" sqref="B4" xr:uid="{10CC5EA0-C410-4CD1-8ABE-4D68896E2F10}"/>
    <dataValidation allowBlank="1" showInputMessage="1" showErrorMessage="1" prompt="Automatically updated title is in this cell. To modify the title, update B1 on January worksheet" sqref="B1:B2" xr:uid="{00000000-0002-0000-0A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A00-000009000000}"/>
    <dataValidation allowBlank="1" showInputMessage="1" showErrorMessage="1" prompt="Track November absence in this worksheet" sqref="A1:A2" xr:uid="{00000000-0002-0000-0A00-00000A000000}"/>
    <dataValidation allowBlank="1" showInputMessage="1" showErrorMessage="1" prompt="Automatically calculates total number of days an employee was absent this month in this column" sqref="AH6" xr:uid="{00000000-0002-0000-0A00-00000B000000}"/>
    <dataValidation allowBlank="1" showInputMessage="1" showErrorMessage="1" prompt="Automatically updated year based on year entered in January worksheet" sqref="AH4" xr:uid="{7C70E403-88A4-4BCC-80A4-595072E83C8C}"/>
    <dataValidation allowBlank="1" showInputMessage="1" showErrorMessage="1" prompt="Weekdays in this row are automatically updated for the month according to the year in AH4. Each day of the month is a column to note an employee's absence and absence type" sqref="C5" xr:uid="{17D1F697-5CDE-4BC4-AC07-CF4166F57CDC}"/>
    <dataValidation type="list" allowBlank="1" showInputMessage="1" showErrorMessage="1" sqref="B7:B12" xr:uid="{00000000-0002-0000-0A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79998168889431442"/>
    <pageSetUpPr fitToPage="1"/>
  </sheetPr>
  <dimension ref="A1:AH12"/>
  <sheetViews>
    <sheetView showGridLines="0" tabSelected="1" zoomScaleNormal="100" workbookViewId="0">
      <selection activeCell="AH6" sqref="AH6"/>
    </sheetView>
  </sheetViews>
  <sheetFormatPr baseColWidth="10" defaultColWidth="8.88671875" defaultRowHeight="30" customHeight="1" x14ac:dyDescent="0.3"/>
  <cols>
    <col min="1" max="1" width="2.6640625" style="1" customWidth="1"/>
    <col min="2" max="2" width="25.6640625" style="1" customWidth="1"/>
    <col min="3" max="5" width="4.6640625" style="1" customWidth="1"/>
    <col min="6" max="6" width="7" style="1" customWidth="1"/>
    <col min="7" max="9" width="4.6640625" style="1" customWidth="1"/>
    <col min="10" max="10" width="8.77734375" style="1" customWidth="1"/>
    <col min="11" max="12" width="4.6640625" style="1" customWidth="1"/>
    <col min="13" max="13" width="10.33203125" style="1" customWidth="1"/>
    <col min="14" max="16" width="4.6640625" style="1" customWidth="1"/>
    <col min="17" max="17" width="6.5546875" style="1" customWidth="1"/>
    <col min="18" max="20" width="4.6640625" style="1" customWidth="1"/>
    <col min="21" max="21" width="9.21875" style="1" customWidth="1"/>
    <col min="22" max="33" width="4.6640625" style="1" customWidth="1"/>
    <col min="34" max="34" width="13.5546875" style="1" customWidth="1"/>
    <col min="35" max="35" width="2.6640625" style="1" customWidth="1"/>
    <col min="36" max="16384" width="8.88671875" style="1"/>
  </cols>
  <sheetData>
    <row r="1" spans="1:34" s="13" customFormat="1" ht="50.1" customHeight="1" x14ac:dyDescent="0.3">
      <c r="A1" s="18"/>
      <c r="B1" s="17" t="s">
        <v>59</v>
      </c>
      <c r="C1"/>
      <c r="D1"/>
      <c r="E1"/>
      <c r="F1"/>
      <c r="G1"/>
      <c r="H1"/>
      <c r="I1"/>
      <c r="J1"/>
      <c r="K1"/>
      <c r="L1"/>
      <c r="M1"/>
      <c r="N1"/>
      <c r="O1"/>
      <c r="P1"/>
      <c r="Q1"/>
      <c r="R1"/>
      <c r="S1"/>
      <c r="T1"/>
      <c r="U1"/>
      <c r="V1"/>
      <c r="W1"/>
      <c r="X1"/>
      <c r="Y1"/>
      <c r="Z1"/>
      <c r="AA1"/>
      <c r="AB1"/>
      <c r="AC1"/>
      <c r="AD1"/>
      <c r="AE1"/>
      <c r="AF1"/>
      <c r="AG1"/>
      <c r="AH1"/>
    </row>
    <row r="2" spans="1:34" s="13" customFormat="1" ht="25.2" customHeight="1" x14ac:dyDescent="0.3">
      <c r="A2"/>
      <c r="B2" s="22" t="s">
        <v>60</v>
      </c>
      <c r="C2" s="19" t="s">
        <v>45</v>
      </c>
      <c r="D2" s="23" t="s">
        <v>46</v>
      </c>
      <c r="E2" s="23"/>
      <c r="F2" s="23"/>
      <c r="G2" s="20" t="s">
        <v>47</v>
      </c>
      <c r="H2" s="23" t="s">
        <v>48</v>
      </c>
      <c r="I2" s="23"/>
      <c r="J2" s="23"/>
      <c r="K2" s="26" t="s">
        <v>53</v>
      </c>
      <c r="L2" s="23" t="s">
        <v>50</v>
      </c>
      <c r="M2" s="23"/>
      <c r="N2" s="21" t="s">
        <v>49</v>
      </c>
      <c r="O2" s="23" t="s">
        <v>57</v>
      </c>
      <c r="P2" s="23"/>
      <c r="Q2" s="23"/>
      <c r="R2" s="27" t="s">
        <v>54</v>
      </c>
      <c r="S2" s="23" t="s">
        <v>56</v>
      </c>
      <c r="T2" s="23"/>
      <c r="U2" s="23"/>
      <c r="V2" s="28" t="s">
        <v>55</v>
      </c>
      <c r="W2" s="23" t="s">
        <v>58</v>
      </c>
      <c r="X2" s="23"/>
      <c r="Y2" s="23"/>
      <c r="Z2"/>
      <c r="AA2"/>
      <c r="AB2"/>
      <c r="AC2"/>
      <c r="AD2"/>
      <c r="AE2"/>
      <c r="AF2"/>
      <c r="AG2"/>
      <c r="AH2"/>
    </row>
    <row r="3" spans="1:34" ht="15" customHeight="1" x14ac:dyDescent="0.3">
      <c r="B3" s="9"/>
      <c r="C3"/>
      <c r="D3"/>
      <c r="E3"/>
      <c r="F3"/>
      <c r="G3"/>
      <c r="H3"/>
      <c r="I3"/>
      <c r="J3"/>
      <c r="K3"/>
      <c r="L3"/>
      <c r="M3"/>
      <c r="N3"/>
      <c r="O3"/>
      <c r="P3"/>
      <c r="Q3"/>
      <c r="R3"/>
      <c r="S3"/>
      <c r="T3"/>
      <c r="U3"/>
      <c r="V3"/>
      <c r="W3"/>
      <c r="X3"/>
      <c r="Y3"/>
      <c r="Z3"/>
      <c r="AA3"/>
      <c r="AB3"/>
      <c r="AC3"/>
      <c r="AD3"/>
      <c r="AE3"/>
      <c r="AF3"/>
      <c r="AG3"/>
      <c r="AH3" s="1" t="s">
        <v>51</v>
      </c>
    </row>
    <row r="4" spans="1:34" s="24" customFormat="1" ht="30" customHeight="1" x14ac:dyDescent="0.3">
      <c r="B4" s="14" t="s">
        <v>44</v>
      </c>
      <c r="C4" s="14" t="s">
        <v>61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f>CalendarYear</f>
        <v>2016</v>
      </c>
    </row>
    <row r="5" spans="1:34" ht="15" customHeight="1" x14ac:dyDescent="0.3">
      <c r="B5" s="3"/>
      <c r="C5" s="1" t="str">
        <f>TEXT(WEEKDAY(DATE(CalendarYear,12,1),1),"aaa")</f>
        <v>1900</v>
      </c>
      <c r="D5" s="1" t="str">
        <f>TEXT(WEEKDAY(DATE(CalendarYear,12,2),1),"aaa")</f>
        <v>1900</v>
      </c>
      <c r="E5" s="1" t="str">
        <f>TEXT(WEEKDAY(DATE(CalendarYear,12,3),1),"aaa")</f>
        <v>1900</v>
      </c>
      <c r="F5" s="1" t="str">
        <f>TEXT(WEEKDAY(DATE(CalendarYear,12,4),1),"aaa")</f>
        <v>1900</v>
      </c>
      <c r="G5" s="1" t="str">
        <f>TEXT(WEEKDAY(DATE(CalendarYear,12,5),1),"aaa")</f>
        <v>1900</v>
      </c>
      <c r="H5" s="1" t="str">
        <f>TEXT(WEEKDAY(DATE(CalendarYear,12,6),1),"aaa")</f>
        <v>1900</v>
      </c>
      <c r="I5" s="1" t="str">
        <f>TEXT(WEEKDAY(DATE(CalendarYear,12,7),1),"aaa")</f>
        <v>1900</v>
      </c>
      <c r="J5" s="1" t="str">
        <f>TEXT(WEEKDAY(DATE(CalendarYear,12,8),1),"aaa")</f>
        <v>1900</v>
      </c>
      <c r="K5" s="1" t="str">
        <f>TEXT(WEEKDAY(DATE(CalendarYear,12,9),1),"aaa")</f>
        <v>1900</v>
      </c>
      <c r="L5" s="1" t="str">
        <f>TEXT(WEEKDAY(DATE(CalendarYear,12,10),1),"aaa")</f>
        <v>1900</v>
      </c>
      <c r="M5" s="1" t="str">
        <f>TEXT(WEEKDAY(DATE(CalendarYear,12,11),1),"aaa")</f>
        <v>1900</v>
      </c>
      <c r="N5" s="1" t="str">
        <f>TEXT(WEEKDAY(DATE(CalendarYear,12,12),1),"aaa")</f>
        <v>1900</v>
      </c>
      <c r="O5" s="1" t="str">
        <f>TEXT(WEEKDAY(DATE(CalendarYear,12,13),1),"aaa")</f>
        <v>1900</v>
      </c>
      <c r="P5" s="1" t="str">
        <f>TEXT(WEEKDAY(DATE(CalendarYear,12,14),1),"aaa")</f>
        <v>1900</v>
      </c>
      <c r="Q5" s="1" t="str">
        <f>TEXT(WEEKDAY(DATE(CalendarYear,12,15),1),"aaa")</f>
        <v>1900</v>
      </c>
      <c r="R5" s="1" t="str">
        <f>TEXT(WEEKDAY(DATE(CalendarYear,12,16),1),"aaa")</f>
        <v>1900</v>
      </c>
      <c r="S5" s="1" t="str">
        <f>TEXT(WEEKDAY(DATE(CalendarYear,12,17),1),"aaa")</f>
        <v>1900</v>
      </c>
      <c r="T5" s="1" t="str">
        <f>TEXT(WEEKDAY(DATE(CalendarYear,12,18),1),"aaa")</f>
        <v>1900</v>
      </c>
      <c r="U5" s="1" t="str">
        <f>TEXT(WEEKDAY(DATE(CalendarYear,12,19),1),"aaa")</f>
        <v>1900</v>
      </c>
      <c r="V5" s="1" t="str">
        <f>TEXT(WEEKDAY(DATE(CalendarYear,12,20),1),"aaa")</f>
        <v>1900</v>
      </c>
      <c r="W5" s="1" t="str">
        <f>TEXT(WEEKDAY(DATE(CalendarYear,12,21),1),"aaa")</f>
        <v>1900</v>
      </c>
      <c r="X5" s="1" t="str">
        <f>TEXT(WEEKDAY(DATE(CalendarYear,12,22),1),"aaa")</f>
        <v>1900</v>
      </c>
      <c r="Y5" s="1" t="str">
        <f>TEXT(WEEKDAY(DATE(CalendarYear,12,23),1),"aaa")</f>
        <v>1900</v>
      </c>
      <c r="Z5" s="1" t="str">
        <f>TEXT(WEEKDAY(DATE(CalendarYear,12,24),1),"aaa")</f>
        <v>1900</v>
      </c>
      <c r="AA5" s="1" t="str">
        <f>TEXT(WEEKDAY(DATE(CalendarYear,12,25),1),"aaa")</f>
        <v>1900</v>
      </c>
      <c r="AB5" s="1" t="str">
        <f>TEXT(WEEKDAY(DATE(CalendarYear,12,26),1),"aaa")</f>
        <v>1900</v>
      </c>
      <c r="AC5" s="1" t="str">
        <f>TEXT(WEEKDAY(DATE(CalendarYear,12,27),1),"aaa")</f>
        <v>1900</v>
      </c>
      <c r="AD5" s="1" t="str">
        <f>TEXT(WEEKDAY(DATE(CalendarYear,12,28),1),"aaa")</f>
        <v>1900</v>
      </c>
      <c r="AE5" s="1" t="str">
        <f>TEXT(WEEKDAY(DATE(CalendarYear,12,29),1),"aaa")</f>
        <v>1900</v>
      </c>
      <c r="AF5" s="1" t="str">
        <f>TEXT(WEEKDAY(DATE(CalendarYear,12,30),1),"aaa")</f>
        <v>1900</v>
      </c>
      <c r="AG5" s="1" t="str">
        <f>TEXT(WEEKDAY(DATE(CalendarYear,12,31),1),"aaa")</f>
        <v>1900</v>
      </c>
      <c r="AH5" s="3"/>
    </row>
    <row r="6" spans="1:34" ht="15" customHeight="1" x14ac:dyDescent="0.3">
      <c r="B6" s="4" t="s">
        <v>52</v>
      </c>
      <c r="C6" s="1" t="s">
        <v>0</v>
      </c>
      <c r="D6" s="1" t="s">
        <v>1</v>
      </c>
      <c r="E6" s="1" t="s">
        <v>2</v>
      </c>
      <c r="F6" s="1" t="s">
        <v>3</v>
      </c>
      <c r="G6" s="1" t="s">
        <v>4</v>
      </c>
      <c r="H6" s="1" t="s">
        <v>5</v>
      </c>
      <c r="I6" s="1" t="s">
        <v>6</v>
      </c>
      <c r="J6" s="1" t="s">
        <v>7</v>
      </c>
      <c r="K6" s="1" t="s">
        <v>8</v>
      </c>
      <c r="L6" s="1" t="s">
        <v>9</v>
      </c>
      <c r="M6" s="1" t="s">
        <v>10</v>
      </c>
      <c r="N6" s="1" t="s">
        <v>11</v>
      </c>
      <c r="O6" s="1" t="s">
        <v>12</v>
      </c>
      <c r="P6" s="1" t="s">
        <v>13</v>
      </c>
      <c r="Q6" s="1" t="s">
        <v>14</v>
      </c>
      <c r="R6" s="1" t="s">
        <v>15</v>
      </c>
      <c r="S6" s="1" t="s">
        <v>16</v>
      </c>
      <c r="T6" s="1" t="s">
        <v>17</v>
      </c>
      <c r="U6" s="1" t="s">
        <v>18</v>
      </c>
      <c r="V6" s="1" t="s">
        <v>19</v>
      </c>
      <c r="W6" s="1" t="s">
        <v>20</v>
      </c>
      <c r="X6" s="1" t="s">
        <v>21</v>
      </c>
      <c r="Y6" s="1" t="s">
        <v>22</v>
      </c>
      <c r="Z6" s="1" t="s">
        <v>23</v>
      </c>
      <c r="AA6" s="1" t="s">
        <v>24</v>
      </c>
      <c r="AB6" s="1" t="s">
        <v>25</v>
      </c>
      <c r="AC6" s="1" t="s">
        <v>26</v>
      </c>
      <c r="AD6" s="1" t="s">
        <v>27</v>
      </c>
      <c r="AE6" s="1" t="s">
        <v>28</v>
      </c>
      <c r="AF6" s="1" t="s">
        <v>29</v>
      </c>
      <c r="AG6" s="1" t="s">
        <v>30</v>
      </c>
      <c r="AH6" s="2" t="s">
        <v>31</v>
      </c>
    </row>
    <row r="7" spans="1:34" ht="30" customHeight="1" x14ac:dyDescent="0.3">
      <c r="B7" s="5"/>
      <c r="AH7" s="6"/>
    </row>
    <row r="8" spans="1:34" ht="30" customHeight="1" x14ac:dyDescent="0.3">
      <c r="B8" s="5"/>
      <c r="AH8" s="6"/>
    </row>
    <row r="9" spans="1:34" ht="30" customHeight="1" x14ac:dyDescent="0.3">
      <c r="B9" s="5"/>
      <c r="AH9" s="6"/>
    </row>
    <row r="10" spans="1:34" ht="30" customHeight="1" x14ac:dyDescent="0.3">
      <c r="B10" s="5"/>
      <c r="AH10" s="6"/>
    </row>
    <row r="11" spans="1:34" ht="30" customHeight="1" x14ac:dyDescent="0.3">
      <c r="B11" s="5"/>
      <c r="AH11" s="6"/>
    </row>
    <row r="12" spans="1:34" ht="30" customHeight="1" x14ac:dyDescent="0.3">
      <c r="B12" s="7"/>
      <c r="AG12" s="8"/>
      <c r="AH12" s="8"/>
    </row>
  </sheetData>
  <conditionalFormatting sqref="C7:AG12">
    <cfRule type="expression" priority="1" stopIfTrue="1">
      <formula>C7=""</formula>
    </cfRule>
  </conditionalFormatting>
  <conditionalFormatting sqref="C7:AG12">
    <cfRule type="expression" dxfId="41" priority="2" stopIfTrue="1">
      <formula>C7=KeyCustom2</formula>
    </cfRule>
    <cfRule type="expression" dxfId="40" priority="3" stopIfTrue="1">
      <formula>C7=KeyCustom1</formula>
    </cfRule>
    <cfRule type="expression" dxfId="39" priority="4" stopIfTrue="1">
      <formula>C7=KeySick</formula>
    </cfRule>
    <cfRule type="expression" dxfId="38" priority="5" stopIfTrue="1">
      <formula>C7=KeyPersonal</formula>
    </cfRule>
    <cfRule type="expression" dxfId="37" priority="6" stopIfTrue="1">
      <formula>C7=KeyVacation</formula>
    </cfRule>
  </conditionalFormatting>
  <conditionalFormatting sqref="AH7:AH12">
    <cfRule type="dataBar" priority="30">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9">
    <dataValidation allowBlank="1" showInputMessage="1" showErrorMessage="1" prompt="Automatically updated year based on year entered in January worksheet" sqref="AH4" xr:uid="{C3AA78C6-AE87-40C6-87D6-AA0901F8701F}"/>
    <dataValidation allowBlank="1" showInputMessage="1" showErrorMessage="1" prompt="Automatically calculates total number of days an employee was absent this month in this column" sqref="AH6" xr:uid="{00000000-0002-0000-0B00-000001000000}"/>
    <dataValidation allowBlank="1" showInputMessage="1" showErrorMessage="1" prompt="Track December absence in this worksheet" sqref="A1:A2" xr:uid="{00000000-0002-0000-0B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6" xr:uid="{00000000-0002-0000-0B00-000003000000}"/>
    <dataValidation allowBlank="1" showInputMessage="1" showErrorMessage="1" prompt="Automatically updated title is in this cell. To modify the title, update B1 on January worksheet" sqref="B1:B2" xr:uid="{00000000-0002-0000-0B00-000004000000}"/>
    <dataValidation allowBlank="1" showInputMessage="1" showErrorMessage="1" prompt="Month name for this absence schedule is in this cell. Absence totals for this month are in last cell of the table. Select employee names in table column B" sqref="B4" xr:uid="{4745E24E-A7C7-4515-9CBD-200917CB5F90}"/>
    <dataValidation allowBlank="1" showInputMessage="1" showErrorMessage="1" prompt="Weekdays in this row are automatically updated for the month according to the year in AH4. Each day of the month is a column to note an employee's absence and absence type" sqref="C5" xr:uid="{A4AE6161-E3E6-4DE2-89B7-8A44A063AA4D}"/>
    <dataValidation allowBlank="1" showInputMessage="1" showErrorMessage="1" prompt="Days of the month in this row are automatically generated. Enter an employee's absence and absence type in each column for each day of the month. Blank means no absence" sqref="C6" xr:uid="{00000000-0002-0000-0B00-00000D000000}"/>
    <dataValidation type="list" allowBlank="1" showInputMessage="1" showErrorMessage="1" sqref="B7:B12" xr:uid="{00000000-0002-0000-0B00-00000E000000}">
      <formula1>#REF!</formula1>
    </dataValidation>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AH7:AH12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38</vt:i4>
      </vt:variant>
    </vt:vector>
  </HeadingPairs>
  <TitlesOfParts>
    <vt:vector size="50" baseType="lpstr">
      <vt:lpstr>January</vt:lpstr>
      <vt:lpstr>February</vt:lpstr>
      <vt:lpstr>March</vt:lpstr>
      <vt:lpstr>April</vt:lpstr>
      <vt:lpstr>May</vt:lpstr>
      <vt:lpstr>June</vt:lpstr>
      <vt:lpstr>July</vt:lpstr>
      <vt:lpstr>August</vt:lpstr>
      <vt:lpstr>September</vt:lpstr>
      <vt:lpstr>October</vt:lpstr>
      <vt:lpstr>November</vt:lpstr>
      <vt:lpstr>December</vt:lpstr>
      <vt:lpstr>CalendarYear</vt:lpstr>
      <vt:lpstr>Employee_Absence_Title</vt:lpstr>
      <vt:lpstr>April!Impression_des_titres</vt:lpstr>
      <vt:lpstr>August!Impression_des_titres</vt:lpstr>
      <vt:lpstr>December!Impression_des_titres</vt:lpstr>
      <vt:lpstr>February!Impression_des_titres</vt:lpstr>
      <vt:lpstr>January!Impression_des_titres</vt:lpstr>
      <vt:lpstr>July!Impression_des_titres</vt:lpstr>
      <vt:lpstr>June!Impression_des_titres</vt:lpstr>
      <vt:lpstr>March!Impression_des_titres</vt:lpstr>
      <vt:lpstr>May!Impression_des_titres</vt:lpstr>
      <vt:lpstr>November!Impression_des_titres</vt:lpstr>
      <vt:lpstr>October!Impression_des_titres</vt:lpstr>
      <vt:lpstr>September!Impression_des_titres</vt:lpstr>
      <vt:lpstr>April!MonthName</vt:lpstr>
      <vt:lpstr>August!MonthName</vt:lpstr>
      <vt:lpstr>December!MonthName</vt:lpstr>
      <vt:lpstr>February!MonthName</vt:lpstr>
      <vt:lpstr>January!MonthName</vt:lpstr>
      <vt:lpstr>July!MonthName</vt:lpstr>
      <vt:lpstr>June!MonthName</vt:lpstr>
      <vt:lpstr>March!MonthName</vt:lpstr>
      <vt:lpstr>May!MonthName</vt:lpstr>
      <vt:lpstr>November!MonthName</vt:lpstr>
      <vt:lpstr>October!MonthName</vt:lpstr>
      <vt:lpstr>September!MonthName</vt:lpstr>
      <vt:lpstr>Title1</vt:lpstr>
      <vt:lpstr>Title10</vt:lpstr>
      <vt:lpstr>Title11</vt:lpstr>
      <vt:lpstr>Title12</vt:lpstr>
      <vt:lpstr>Title2</vt:lpstr>
      <vt:lpstr>Title3</vt:lpstr>
      <vt:lpstr>Title4</vt:lpstr>
      <vt:lpstr>Title5</vt:lpstr>
      <vt:lpstr>Title6</vt:lpstr>
      <vt:lpstr>Title7</vt:lpstr>
      <vt:lpstr>Title8</vt:lpstr>
      <vt:lpstr>Title9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Free Excel Attendance &amp; Timesheet Templates at Exceldownloads.com</dc:subject>
  <dc:creator>Ismail</dc:creator>
  <cp:keywords>exceldownloads; attendance; timesheet</cp:keywords>
  <dc:description>download free excel templates and dashboards for personal and business use at exceldownloads.com</dc:description>
  <cp:lastModifiedBy>Ismail</cp:lastModifiedBy>
  <cp:revision>1</cp:revision>
  <dcterms:created xsi:type="dcterms:W3CDTF">2016-12-06T04:52:27Z</dcterms:created>
  <dcterms:modified xsi:type="dcterms:W3CDTF">2024-08-15T12:05:43Z</dcterms:modified>
  <cp:category>attendance;timesheet</cp:category>
  <cp:version>1</cp:version>
</cp:coreProperties>
</file>